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anil/Downloads/"/>
    </mc:Choice>
  </mc:AlternateContent>
  <xr:revisionPtr revIDLastSave="0" documentId="13_ncr:1_{DB228CD6-5B73-8141-A261-1036EEA96716}" xr6:coauthVersionLast="47" xr6:coauthVersionMax="47" xr10:uidLastSave="{00000000-0000-0000-0000-000000000000}"/>
  <bookViews>
    <workbookView xWindow="0" yWindow="500" windowWidth="28800" windowHeight="16220" activeTab="9" xr2:uid="{00000000-000D-0000-FFFF-FFFF00000000}"/>
  </bookViews>
  <sheets>
    <sheet name="Вариант10" sheetId="1" r:id="rId1"/>
    <sheet name="Вариант9" sheetId="2" r:id="rId2"/>
    <sheet name="Вариант8" sheetId="3" r:id="rId3"/>
    <sheet name="Вариант7" sheetId="4" r:id="rId4"/>
    <sheet name="Вариант 6" sheetId="5" r:id="rId5"/>
    <sheet name="Вариант 5" sheetId="6" r:id="rId6"/>
    <sheet name="Вариант 4" sheetId="7" r:id="rId7"/>
    <sheet name="Вариант 3" sheetId="8" r:id="rId8"/>
    <sheet name="Вариант 2" sheetId="9" r:id="rId9"/>
    <sheet name="Вариант 1" sheetId="10" r:id="rId10"/>
  </sheets>
  <definedNames>
    <definedName name="_Toc104504715" localSheetId="9">'Вариант 1'!$A$46</definedName>
    <definedName name="_Toc104504716" localSheetId="9">'Вариант 1'!$A$47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0" l="1"/>
  <c r="G58" i="10"/>
  <c r="C52" i="10"/>
  <c r="E57" i="10"/>
  <c r="E49" i="10"/>
  <c r="F33" i="10"/>
  <c r="T3" i="10"/>
  <c r="T2" i="10"/>
  <c r="R31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2" i="10"/>
  <c r="F34" i="10" l="1"/>
</calcChain>
</file>

<file path=xl/sharedStrings.xml><?xml version="1.0" encoding="utf-8"?>
<sst xmlns="http://schemas.openxmlformats.org/spreadsheetml/2006/main" count="71" uniqueCount="34">
  <si>
    <t>№</t>
  </si>
  <si>
    <t>Х</t>
  </si>
  <si>
    <t>У</t>
  </si>
  <si>
    <t>n_i</t>
  </si>
  <si>
    <t>x_min</t>
  </si>
  <si>
    <t>x_max</t>
  </si>
  <si>
    <t>≈</t>
  </si>
  <si>
    <t>Величина интервалов</t>
  </si>
  <si>
    <t>Рекомендуемое число интервалов</t>
  </si>
  <si>
    <t>m =</t>
  </si>
  <si>
    <t>h =</t>
  </si>
  <si>
    <t>i</t>
  </si>
  <si>
    <t>Сумма</t>
  </si>
  <si>
    <t>-</t>
  </si>
  <si>
    <r>
      <t xml:space="preserve">Интервалы, </t>
    </r>
    <r>
      <rPr>
        <i/>
        <sz val="11"/>
        <color rgb="FF000000"/>
        <rFont val="Times New Roman"/>
        <family val="1"/>
      </rPr>
      <t>X</t>
    </r>
  </si>
  <si>
    <r>
      <t xml:space="preserve">Середина интервала, </t>
    </r>
    <r>
      <rPr>
        <i/>
        <sz val="11"/>
        <color rgb="FF000000"/>
        <rFont val="Times New Roman"/>
        <family val="1"/>
      </rPr>
      <t>X</t>
    </r>
  </si>
  <si>
    <r>
      <t xml:space="preserve">Частота, </t>
    </r>
    <r>
      <rPr>
        <i/>
        <sz val="11"/>
        <color rgb="FF000000"/>
        <rFont val="Times New Roman"/>
        <family val="1"/>
      </rPr>
      <t>n</t>
    </r>
    <r>
      <rPr>
        <i/>
        <vertAlign val="subscript"/>
        <sz val="11"/>
        <color rgb="FF000000"/>
        <rFont val="Times New Roman"/>
        <family val="1"/>
      </rPr>
      <t>i</t>
    </r>
  </si>
  <si>
    <r>
      <t xml:space="preserve">Накопленная частота, </t>
    </r>
    <r>
      <rPr>
        <i/>
        <sz val="11"/>
        <color rgb="FF000000"/>
        <rFont val="Times New Roman"/>
        <family val="1"/>
      </rPr>
      <t>n</t>
    </r>
    <r>
      <rPr>
        <i/>
        <vertAlign val="subscript"/>
        <sz val="11"/>
        <color rgb="FF000000"/>
        <rFont val="Times New Roman"/>
        <family val="1"/>
      </rPr>
      <t>i</t>
    </r>
    <r>
      <rPr>
        <vertAlign val="superscript"/>
        <sz val="11"/>
        <color rgb="FF000000"/>
        <rFont val="Times New Roman"/>
        <family val="1"/>
      </rPr>
      <t>нак</t>
    </r>
  </si>
  <si>
    <t>2,55;3,896</t>
  </si>
  <si>
    <t>3,896;5,424</t>
  </si>
  <si>
    <t>6,588;7,934</t>
  </si>
  <si>
    <t>7,934;9,28</t>
  </si>
  <si>
    <t>2 Оценить статистические характеристики рядов распределения</t>
  </si>
  <si>
    <t>2.1 Показатели центра распределения: среднее, мода, медиана</t>
  </si>
  <si>
    <t>Среднее арифметическое Y =</t>
  </si>
  <si>
    <t>Среднее арифметическое X =</t>
  </si>
  <si>
    <r>
      <t xml:space="preserve">Для дискретного ряда </t>
    </r>
    <r>
      <rPr>
        <i/>
        <sz val="14"/>
        <color rgb="FF000000"/>
        <rFont val="Times New Roman"/>
        <family val="1"/>
      </rPr>
      <t>Y</t>
    </r>
    <r>
      <rPr>
        <sz val="14"/>
        <color rgb="FF000000"/>
        <rFont val="Times New Roman"/>
        <family val="1"/>
      </rPr>
      <t xml:space="preserve"> невозможно найти моду, потому что у каждого значения </t>
    </r>
    <r>
      <rPr>
        <i/>
        <sz val="14"/>
        <color rgb="FF000000"/>
        <rFont val="Times New Roman"/>
        <family val="1"/>
      </rPr>
      <t>Y</t>
    </r>
    <r>
      <rPr>
        <i/>
        <vertAlign val="subscript"/>
        <sz val="14"/>
        <color rgb="FF000000"/>
        <rFont val="Times New Roman"/>
        <family val="1"/>
      </rPr>
      <t>i</t>
    </r>
    <r>
      <rPr>
        <sz val="14"/>
        <color rgb="FF000000"/>
        <rFont val="Times New Roman"/>
        <family val="1"/>
      </rPr>
      <t xml:space="preserve"> частота 1.</t>
    </r>
  </si>
  <si>
    <t>Для интервального ряда X мода равна</t>
  </si>
  <si>
    <t>M_0=</t>
  </si>
  <si>
    <t>5,242;6,588</t>
  </si>
  <si>
    <t>1. ДИСКРЕТНЫЙ РЯД Y</t>
  </si>
  <si>
    <t>Медиана</t>
  </si>
  <si>
    <t xml:space="preserve">Me = </t>
  </si>
  <si>
    <r>
      <t xml:space="preserve">1. ИНТЕРВАЛЬНЫЙ РЯД </t>
    </r>
    <r>
      <rPr>
        <i/>
        <sz val="11"/>
        <rFont val="KaTeX_Math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</si>
</sst>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sz val="16"/>
      <color theme="1"/>
      <name val="Arial"/>
      <family val="2"/>
    </font>
    <font>
      <i/>
      <vertAlign val="subscript"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Arial"/>
      <family val="2"/>
      <charset val="204"/>
    </font>
    <font>
      <i/>
      <sz val="11"/>
      <name val="KaTeX_Math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3" borderId="1" xfId="0" applyFont="1" applyFill="1" applyBorder="1"/>
    <xf numFmtId="0" fontId="2" fillId="4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0" fillId="4" borderId="0" xfId="0" applyNumberFormat="1" applyFill="1"/>
    <xf numFmtId="0" fontId="3" fillId="4" borderId="0" xfId="0" applyFont="1" applyFill="1" applyAlignment="1">
      <alignment horizontal="center"/>
    </xf>
    <xf numFmtId="169" fontId="0" fillId="4" borderId="0" xfId="0" applyNumberFormat="1" applyFill="1"/>
    <xf numFmtId="0" fontId="3" fillId="4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4" fillId="4" borderId="0" xfId="0" applyFont="1" applyFill="1"/>
    <xf numFmtId="0" fontId="15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'Вариант 1'!$F$2:$F$31</c:f>
              <c:numCache>
                <c:formatCode>0.00</c:formatCode>
                <c:ptCount val="30"/>
                <c:pt idx="0">
                  <c:v>80.224616229743333</c:v>
                </c:pt>
                <c:pt idx="1">
                  <c:v>80.932645649586476</c:v>
                </c:pt>
                <c:pt idx="2">
                  <c:v>80.953398236030154</c:v>
                </c:pt>
                <c:pt idx="3">
                  <c:v>81.895809808648949</c:v>
                </c:pt>
                <c:pt idx="4">
                  <c:v>84.924466689046909</c:v>
                </c:pt>
                <c:pt idx="5">
                  <c:v>85.73625904110844</c:v>
                </c:pt>
                <c:pt idx="6">
                  <c:v>87.770012512588892</c:v>
                </c:pt>
                <c:pt idx="7">
                  <c:v>88.414563432721948</c:v>
                </c:pt>
                <c:pt idx="8">
                  <c:v>90.216376232184814</c:v>
                </c:pt>
                <c:pt idx="9">
                  <c:v>91.306497390667445</c:v>
                </c:pt>
                <c:pt idx="10">
                  <c:v>91.656849879451883</c:v>
                </c:pt>
                <c:pt idx="11">
                  <c:v>91.745963927121807</c:v>
                </c:pt>
                <c:pt idx="12">
                  <c:v>91.819208349864198</c:v>
                </c:pt>
                <c:pt idx="13">
                  <c:v>97.113559373760182</c:v>
                </c:pt>
                <c:pt idx="14">
                  <c:v>97.615283669545576</c:v>
                </c:pt>
                <c:pt idx="15">
                  <c:v>98.743247779778443</c:v>
                </c:pt>
                <c:pt idx="16">
                  <c:v>99.059419537949765</c:v>
                </c:pt>
                <c:pt idx="17">
                  <c:v>101.85613574633015</c:v>
                </c:pt>
                <c:pt idx="18">
                  <c:v>102.02215643787957</c:v>
                </c:pt>
                <c:pt idx="19">
                  <c:v>102.11004974517044</c:v>
                </c:pt>
                <c:pt idx="20">
                  <c:v>102.13446455275124</c:v>
                </c:pt>
                <c:pt idx="21">
                  <c:v>102.20038453321939</c:v>
                </c:pt>
                <c:pt idx="22">
                  <c:v>106.41071810052797</c:v>
                </c:pt>
                <c:pt idx="23">
                  <c:v>108.76308481093784</c:v>
                </c:pt>
                <c:pt idx="24">
                  <c:v>112.14453566087832</c:v>
                </c:pt>
                <c:pt idx="25">
                  <c:v>112.14819788201544</c:v>
                </c:pt>
                <c:pt idx="26">
                  <c:v>113.21146275215918</c:v>
                </c:pt>
                <c:pt idx="27">
                  <c:v>114.91439558091983</c:v>
                </c:pt>
                <c:pt idx="28">
                  <c:v>118.16034424878688</c:v>
                </c:pt>
                <c:pt idx="29">
                  <c:v>118.23236793115024</c:v>
                </c:pt>
              </c:numCache>
            </c:numRef>
          </c:xVal>
          <c:yVal>
            <c:numRef>
              <c:f>'Вариант 1'!$G$2:$G$31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A-D840-8DEA-0EC0A553F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227568"/>
        <c:axId val="2121414912"/>
      </c:scatterChart>
      <c:valAx>
        <c:axId val="2122227568"/>
        <c:scaling>
          <c:orientation val="minMax"/>
          <c:max val="12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Вариационный </a:t>
                </a:r>
                <a:r>
                  <a:rPr lang="uk-UA" sz="1000" b="0" i="0" u="none" strike="noStrike" baseline="0">
                    <a:effectLst/>
                  </a:rPr>
                  <a:t>ряд по Y</a:t>
                </a:r>
                <a:r>
                  <a:rPr lang="ru-RU" sz="1000" b="0" i="0" u="none" strike="noStrike" baseline="0">
                    <a:effectLst/>
                  </a:rPr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1414912"/>
        <c:crosses val="autoZero"/>
        <c:crossBetween val="midCat"/>
      </c:valAx>
      <c:valAx>
        <c:axId val="21214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  <a:r>
                  <a:rPr lang="en-US"/>
                  <a:t>,</a:t>
                </a:r>
                <a:r>
                  <a:rPr lang="ru-RU"/>
                  <a:t> </a:t>
                </a:r>
                <a:r>
                  <a:rPr lang="en-US"/>
                  <a:t>n_i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22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>
                <a:effectLst/>
              </a:rPr>
              <a:t>Гистограмма частот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'Вариант 1'!$F$2:$F$31</c:f>
              <c:numCache>
                <c:formatCode>0.00</c:formatCode>
                <c:ptCount val="30"/>
                <c:pt idx="0">
                  <c:v>80.224616229743333</c:v>
                </c:pt>
                <c:pt idx="1">
                  <c:v>80.932645649586476</c:v>
                </c:pt>
                <c:pt idx="2">
                  <c:v>80.953398236030154</c:v>
                </c:pt>
                <c:pt idx="3">
                  <c:v>81.895809808648949</c:v>
                </c:pt>
                <c:pt idx="4">
                  <c:v>84.924466689046909</c:v>
                </c:pt>
                <c:pt idx="5">
                  <c:v>85.73625904110844</c:v>
                </c:pt>
                <c:pt idx="6">
                  <c:v>87.770012512588892</c:v>
                </c:pt>
                <c:pt idx="7">
                  <c:v>88.414563432721948</c:v>
                </c:pt>
                <c:pt idx="8">
                  <c:v>90.216376232184814</c:v>
                </c:pt>
                <c:pt idx="9">
                  <c:v>91.306497390667445</c:v>
                </c:pt>
                <c:pt idx="10">
                  <c:v>91.656849879451883</c:v>
                </c:pt>
                <c:pt idx="11">
                  <c:v>91.745963927121807</c:v>
                </c:pt>
                <c:pt idx="12">
                  <c:v>91.819208349864198</c:v>
                </c:pt>
                <c:pt idx="13">
                  <c:v>97.113559373760182</c:v>
                </c:pt>
                <c:pt idx="14">
                  <c:v>97.615283669545576</c:v>
                </c:pt>
                <c:pt idx="15">
                  <c:v>98.743247779778443</c:v>
                </c:pt>
                <c:pt idx="16">
                  <c:v>99.059419537949765</c:v>
                </c:pt>
                <c:pt idx="17">
                  <c:v>101.85613574633015</c:v>
                </c:pt>
                <c:pt idx="18">
                  <c:v>102.02215643787957</c:v>
                </c:pt>
                <c:pt idx="19">
                  <c:v>102.11004974517044</c:v>
                </c:pt>
                <c:pt idx="20">
                  <c:v>102.13446455275124</c:v>
                </c:pt>
                <c:pt idx="21">
                  <c:v>102.20038453321939</c:v>
                </c:pt>
                <c:pt idx="22">
                  <c:v>106.41071810052797</c:v>
                </c:pt>
                <c:pt idx="23">
                  <c:v>108.76308481093784</c:v>
                </c:pt>
                <c:pt idx="24">
                  <c:v>112.14453566087832</c:v>
                </c:pt>
                <c:pt idx="25">
                  <c:v>112.14819788201544</c:v>
                </c:pt>
                <c:pt idx="26">
                  <c:v>113.21146275215918</c:v>
                </c:pt>
                <c:pt idx="27">
                  <c:v>114.91439558091983</c:v>
                </c:pt>
                <c:pt idx="28">
                  <c:v>118.16034424878688</c:v>
                </c:pt>
                <c:pt idx="29">
                  <c:v>118.23236793115024</c:v>
                </c:pt>
              </c:numCache>
            </c:numRef>
          </c:cat>
          <c:val>
            <c:numRef>
              <c:f>'Вариант 1'!$G$2:$G$31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4-3C45-81B5-736EED152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348960"/>
        <c:axId val="40990624"/>
      </c:barChart>
      <c:catAx>
        <c:axId val="118534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Вариационный </a:t>
                </a:r>
                <a:r>
                  <a:rPr lang="uk-U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ряд по Y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90624"/>
        <c:crosses val="autoZero"/>
        <c:auto val="1"/>
        <c:lblAlgn val="ctr"/>
        <c:lblOffset val="100"/>
        <c:noMultiLvlLbl val="0"/>
      </c:catAx>
      <c:valAx>
        <c:axId val="409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  <a:r>
                  <a:rPr lang="en-US"/>
                  <a:t>,</a:t>
                </a:r>
                <a:r>
                  <a:rPr lang="en-US" baseline="0"/>
                  <a:t> n_i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3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'Вариант 1'!$C$37:$C$41</c:f>
              <c:numCache>
                <c:formatCode>General</c:formatCode>
                <c:ptCount val="5"/>
                <c:pt idx="0">
                  <c:v>3.2229999999999999</c:v>
                </c:pt>
                <c:pt idx="1">
                  <c:v>4.66</c:v>
                </c:pt>
                <c:pt idx="2">
                  <c:v>6.0060000000000002</c:v>
                </c:pt>
                <c:pt idx="3">
                  <c:v>7.2610000000000001</c:v>
                </c:pt>
                <c:pt idx="4">
                  <c:v>8.6069999999999993</c:v>
                </c:pt>
              </c:numCache>
            </c:numRef>
          </c:xVal>
          <c:yVal>
            <c:numRef>
              <c:f>'Вариант 1'!$D$37:$D$41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A3-F14E-929F-37B4C0B9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35776"/>
        <c:axId val="107892784"/>
      </c:scatterChart>
      <c:valAx>
        <c:axId val="10783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интервала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892784"/>
        <c:crosses val="autoZero"/>
        <c:crossBetween val="midCat"/>
      </c:valAx>
      <c:valAx>
        <c:axId val="1078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  <a:r>
                  <a:rPr lang="ru-RU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83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'Вариант 1'!$C$37:$C$41</c:f>
              <c:numCache>
                <c:formatCode>General</c:formatCode>
                <c:ptCount val="5"/>
                <c:pt idx="0">
                  <c:v>3.2229999999999999</c:v>
                </c:pt>
                <c:pt idx="1">
                  <c:v>4.66</c:v>
                </c:pt>
                <c:pt idx="2">
                  <c:v>6.0060000000000002</c:v>
                </c:pt>
                <c:pt idx="3">
                  <c:v>7.2610000000000001</c:v>
                </c:pt>
                <c:pt idx="4">
                  <c:v>8.6069999999999993</c:v>
                </c:pt>
              </c:numCache>
            </c:numRef>
          </c:cat>
          <c:val>
            <c:numRef>
              <c:f>'Вариант 1'!$D$37:$D$41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4-3545-8AB2-8519BE70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57456"/>
        <c:axId val="107934400"/>
      </c:barChart>
      <c:catAx>
        <c:axId val="10785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Середина интервала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34400"/>
        <c:crosses val="autoZero"/>
        <c:auto val="1"/>
        <c:lblAlgn val="ctr"/>
        <c:lblOffset val="100"/>
        <c:noMultiLvlLbl val="0"/>
      </c:catAx>
      <c:valAx>
        <c:axId val="1079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8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w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219779</xdr:colOff>
      <xdr:row>0</xdr:row>
      <xdr:rowOff>99927</xdr:rowOff>
    </xdr:from>
    <xdr:to>
      <xdr:col>14</xdr:col>
      <xdr:colOff>53994</xdr:colOff>
      <xdr:row>14</xdr:row>
      <xdr:rowOff>181450</xdr:rowOff>
    </xdr:to>
    <xdr:graphicFrame macro="">
      <xdr:nvGraphicFramePr>
        <xdr:cNvPr id="60" name="Диаграмма 59">
          <a:extLst>
            <a:ext uri="{FF2B5EF4-FFF2-40B4-BE49-F238E27FC236}">
              <a16:creationId xmlns:a16="http://schemas.microsoft.com/office/drawing/2014/main" id="{8660DE78-89D6-1B22-8D44-406A1BC6D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224367</xdr:colOff>
      <xdr:row>15</xdr:row>
      <xdr:rowOff>21167</xdr:rowOff>
    </xdr:from>
    <xdr:to>
      <xdr:col>14</xdr:col>
      <xdr:colOff>55033</xdr:colOff>
      <xdr:row>29</xdr:row>
      <xdr:rowOff>38100</xdr:rowOff>
    </xdr:to>
    <xdr:graphicFrame macro="">
      <xdr:nvGraphicFramePr>
        <xdr:cNvPr id="61" name="Диаграмма 60">
          <a:extLst>
            <a:ext uri="{FF2B5EF4-FFF2-40B4-BE49-F238E27FC236}">
              <a16:creationId xmlns:a16="http://schemas.microsoft.com/office/drawing/2014/main" id="{A1DF7104-CD37-0971-099C-6710D8E1B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</xdr:colOff>
      <xdr:row>34</xdr:row>
      <xdr:rowOff>190499</xdr:rowOff>
    </xdr:from>
    <xdr:to>
      <xdr:col>12</xdr:col>
      <xdr:colOff>520700</xdr:colOff>
      <xdr:row>43</xdr:row>
      <xdr:rowOff>131233</xdr:rowOff>
    </xdr:to>
    <xdr:graphicFrame macro="">
      <xdr:nvGraphicFramePr>
        <xdr:cNvPr id="64" name="Диаграмма 63">
          <a:extLst>
            <a:ext uri="{FF2B5EF4-FFF2-40B4-BE49-F238E27FC236}">
              <a16:creationId xmlns:a16="http://schemas.microsoft.com/office/drawing/2014/main" id="{E54282E1-6BE2-5B39-C5E7-C9EEF9477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21166</xdr:colOff>
      <xdr:row>35</xdr:row>
      <xdr:rowOff>4234</xdr:rowOff>
    </xdr:from>
    <xdr:to>
      <xdr:col>19</xdr:col>
      <xdr:colOff>529166</xdr:colOff>
      <xdr:row>43</xdr:row>
      <xdr:rowOff>139701</xdr:rowOff>
    </xdr:to>
    <xdr:graphicFrame macro="">
      <xdr:nvGraphicFramePr>
        <xdr:cNvPr id="65" name="Диаграмма 64">
          <a:extLst>
            <a:ext uri="{FF2B5EF4-FFF2-40B4-BE49-F238E27FC236}">
              <a16:creationId xmlns:a16="http://schemas.microsoft.com/office/drawing/2014/main" id="{361069E0-E97D-9209-8FA1-8630A9AAB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5.3349406414990694</v>
      </c>
      <c r="C2" s="1">
        <v>97.697714163640242</v>
      </c>
    </row>
    <row r="3" spans="1:3">
      <c r="A3">
        <v>2</v>
      </c>
      <c r="B3" s="1">
        <v>4.4862819299905397</v>
      </c>
      <c r="C3" s="1">
        <v>135.81777397991883</v>
      </c>
    </row>
    <row r="4" spans="1:3">
      <c r="A4">
        <v>3</v>
      </c>
      <c r="B4" s="1">
        <v>7.9326151310769975</v>
      </c>
      <c r="C4" s="1">
        <v>144.20700704977568</v>
      </c>
    </row>
    <row r="5" spans="1:3">
      <c r="A5">
        <v>4</v>
      </c>
      <c r="B5" s="1">
        <v>11.237281411175879</v>
      </c>
      <c r="C5" s="1">
        <v>120.19077120273445</v>
      </c>
    </row>
    <row r="6" spans="1:3">
      <c r="A6">
        <v>5</v>
      </c>
      <c r="B6" s="1">
        <v>4.8602557451094093</v>
      </c>
      <c r="C6" s="1">
        <v>95.649006622516552</v>
      </c>
    </row>
    <row r="7" spans="1:3">
      <c r="A7">
        <v>6</v>
      </c>
      <c r="B7" s="1">
        <v>6.4780114139225438</v>
      </c>
      <c r="C7" s="1">
        <v>143.44648579363383</v>
      </c>
    </row>
    <row r="8" spans="1:3">
      <c r="A8">
        <v>7</v>
      </c>
      <c r="B8" s="1">
        <v>3.3687246314889983</v>
      </c>
      <c r="C8" s="1">
        <v>149.28070925016021</v>
      </c>
    </row>
    <row r="9" spans="1:3">
      <c r="A9">
        <v>8</v>
      </c>
      <c r="B9" s="1">
        <v>11.349406414990693</v>
      </c>
      <c r="C9" s="1">
        <v>133.89724417859432</v>
      </c>
    </row>
    <row r="10" spans="1:3">
      <c r="A10">
        <v>9</v>
      </c>
      <c r="B10" s="1">
        <v>7.2984710226752529</v>
      </c>
      <c r="C10" s="1">
        <v>119.37897885067294</v>
      </c>
    </row>
    <row r="11" spans="1:3">
      <c r="A11">
        <v>10</v>
      </c>
      <c r="B11" s="1">
        <v>5.7273781548509168</v>
      </c>
      <c r="C11" s="1">
        <v>122.86327707754754</v>
      </c>
    </row>
    <row r="12" spans="1:3">
      <c r="A12">
        <v>11</v>
      </c>
      <c r="B12" s="1">
        <v>7.2628864406262403</v>
      </c>
      <c r="C12" s="1">
        <v>93.81606494338817</v>
      </c>
    </row>
    <row r="13" spans="1:3">
      <c r="A13">
        <v>12</v>
      </c>
      <c r="B13" s="1">
        <v>7.7368999298074286</v>
      </c>
      <c r="C13" s="1">
        <v>128.15060884426404</v>
      </c>
    </row>
    <row r="14" spans="1:3">
      <c r="A14">
        <v>13</v>
      </c>
      <c r="B14" s="1">
        <v>9.9297158726767787</v>
      </c>
      <c r="C14" s="1">
        <v>124.32877590258491</v>
      </c>
    </row>
    <row r="15" spans="1:3">
      <c r="A15">
        <v>14</v>
      </c>
      <c r="B15" s="1">
        <v>7.4340952787865842</v>
      </c>
      <c r="C15" s="1">
        <v>120.94488357188635</v>
      </c>
    </row>
    <row r="16" spans="1:3">
      <c r="A16">
        <v>15</v>
      </c>
      <c r="B16" s="1">
        <v>7.394817957090976</v>
      </c>
      <c r="C16" s="1">
        <v>132.5342875453963</v>
      </c>
    </row>
    <row r="17" spans="1:3">
      <c r="A17">
        <v>16</v>
      </c>
      <c r="B17" s="1">
        <v>10.427564317758721</v>
      </c>
      <c r="C17" s="1">
        <v>117.76393932920317</v>
      </c>
    </row>
    <row r="18" spans="1:3">
      <c r="A18">
        <v>17</v>
      </c>
      <c r="B18" s="1">
        <v>2.0776085695974609</v>
      </c>
      <c r="C18" s="1">
        <v>134.18778038880581</v>
      </c>
    </row>
    <row r="19" spans="1:3">
      <c r="A19">
        <v>18</v>
      </c>
      <c r="B19" s="1">
        <v>1.9087496566667683</v>
      </c>
      <c r="C19" s="1">
        <v>107.28540910061953</v>
      </c>
    </row>
    <row r="20" spans="1:3">
      <c r="A20">
        <v>19</v>
      </c>
      <c r="B20" s="1">
        <v>9.4842371898556461</v>
      </c>
      <c r="C20" s="1">
        <v>129.74001281777399</v>
      </c>
    </row>
    <row r="21" spans="1:3">
      <c r="A21">
        <v>20</v>
      </c>
      <c r="B21" s="1">
        <v>11.803613391521958</v>
      </c>
      <c r="C21" s="1">
        <v>105.56996368297372</v>
      </c>
    </row>
    <row r="22" spans="1:3">
      <c r="A22">
        <v>21</v>
      </c>
      <c r="B22" s="1">
        <v>5.45982238227485</v>
      </c>
      <c r="C22" s="1">
        <v>128.18692587054048</v>
      </c>
    </row>
    <row r="23" spans="1:3">
      <c r="A23">
        <v>22</v>
      </c>
      <c r="B23" s="1">
        <v>9.9011810663167203</v>
      </c>
      <c r="C23" s="1">
        <v>145.98654133732109</v>
      </c>
    </row>
    <row r="24" spans="1:3">
      <c r="A24">
        <v>23</v>
      </c>
      <c r="B24" s="1">
        <v>7.0836207159642326</v>
      </c>
      <c r="C24" s="1">
        <v>132.69878231147192</v>
      </c>
    </row>
    <row r="25" spans="1:3">
      <c r="A25">
        <v>24</v>
      </c>
      <c r="B25" s="1">
        <v>1.3068330942716757</v>
      </c>
      <c r="C25" s="1">
        <v>106.07626575518051</v>
      </c>
    </row>
    <row r="26" spans="1:3">
      <c r="A26">
        <v>25</v>
      </c>
      <c r="B26" s="1">
        <v>3.9545274208807646</v>
      </c>
      <c r="C26" s="1">
        <v>118.8897671437727</v>
      </c>
    </row>
    <row r="27" spans="1:3">
      <c r="A27">
        <v>26</v>
      </c>
      <c r="B27" s="1">
        <v>8.6664632099368255</v>
      </c>
      <c r="C27" s="1">
        <v>136.09976500747703</v>
      </c>
    </row>
    <row r="28" spans="1:3">
      <c r="A28">
        <v>27</v>
      </c>
      <c r="B28" s="1">
        <v>1.2487563707388531</v>
      </c>
      <c r="C28" s="1">
        <v>109.03503524887844</v>
      </c>
    </row>
    <row r="29" spans="1:3">
      <c r="A29">
        <v>28</v>
      </c>
      <c r="B29" s="1">
        <v>6.8009582811975466</v>
      </c>
      <c r="C29" s="1">
        <v>137.00555436872463</v>
      </c>
    </row>
    <row r="30" spans="1:3">
      <c r="A30">
        <v>29</v>
      </c>
      <c r="B30" s="1">
        <v>2.3844416638691364</v>
      </c>
      <c r="C30" s="1">
        <v>116.32834864345226</v>
      </c>
    </row>
    <row r="31" spans="1:3">
      <c r="A31">
        <v>30</v>
      </c>
      <c r="B31" s="1">
        <v>9.9955137791070285</v>
      </c>
      <c r="C31" s="1">
        <v>102.92950224311045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11.221839045381024</v>
      </c>
      <c r="C2" s="1">
        <v>144.6539201025422</v>
      </c>
    </row>
    <row r="3" spans="1:3">
      <c r="A3">
        <v>2</v>
      </c>
      <c r="B3" s="1">
        <v>13.228949858088932</v>
      </c>
      <c r="C3" s="1">
        <v>125.15594958342234</v>
      </c>
    </row>
    <row r="4" spans="1:3">
      <c r="A4">
        <v>3</v>
      </c>
      <c r="B4" s="1">
        <v>7.9816583758049262</v>
      </c>
      <c r="C4" s="1">
        <v>145.78615680410169</v>
      </c>
    </row>
    <row r="5" spans="1:3">
      <c r="A5">
        <v>4</v>
      </c>
      <c r="B5" s="1">
        <v>4.4082155827509384</v>
      </c>
      <c r="C5" s="1">
        <v>119.10809656056398</v>
      </c>
    </row>
    <row r="6" spans="1:3">
      <c r="A6">
        <v>5</v>
      </c>
      <c r="B6" s="1">
        <v>13.548722800378428</v>
      </c>
      <c r="C6" s="1">
        <v>153.63063447981199</v>
      </c>
    </row>
    <row r="7" spans="1:3">
      <c r="A7">
        <v>6</v>
      </c>
      <c r="B7" s="1">
        <v>6.9334696493423262</v>
      </c>
      <c r="C7" s="1">
        <v>111.23371074556718</v>
      </c>
    </row>
    <row r="8" spans="1:3">
      <c r="A8">
        <v>7</v>
      </c>
      <c r="B8" s="1">
        <v>13.664571062349316</v>
      </c>
      <c r="C8" s="1">
        <v>106.02114932706687</v>
      </c>
    </row>
    <row r="9" spans="1:3">
      <c r="A9">
        <v>8</v>
      </c>
      <c r="B9" s="1">
        <v>8.4073610644856096</v>
      </c>
      <c r="C9" s="1">
        <v>120.55864131595813</v>
      </c>
    </row>
    <row r="10" spans="1:3">
      <c r="A10">
        <v>9</v>
      </c>
      <c r="B10" s="1">
        <v>7.0913724173711357</v>
      </c>
      <c r="C10" s="1">
        <v>120.12924588763084</v>
      </c>
    </row>
    <row r="11" spans="1:3">
      <c r="A11">
        <v>10</v>
      </c>
      <c r="B11" s="1">
        <v>11.641193884090701</v>
      </c>
      <c r="C11" s="1">
        <v>117.19824823755607</v>
      </c>
    </row>
    <row r="12" spans="1:3">
      <c r="A12">
        <v>11</v>
      </c>
      <c r="B12" s="1">
        <v>11.670155949583421</v>
      </c>
      <c r="C12" s="1">
        <v>147.64046143986326</v>
      </c>
    </row>
    <row r="13" spans="1:3">
      <c r="A13">
        <v>12</v>
      </c>
      <c r="B13" s="1">
        <v>8.6017639698477133</v>
      </c>
      <c r="C13" s="1">
        <v>139.4135868404187</v>
      </c>
    </row>
    <row r="14" spans="1:3">
      <c r="A14">
        <v>13</v>
      </c>
      <c r="B14" s="1">
        <v>10.087557603686635</v>
      </c>
      <c r="C14" s="1">
        <v>135.70070497756888</v>
      </c>
    </row>
    <row r="15" spans="1:3">
      <c r="A15">
        <v>14</v>
      </c>
      <c r="B15" s="1">
        <v>7.2774437696462906</v>
      </c>
      <c r="C15" s="1">
        <v>94.316385387737668</v>
      </c>
    </row>
    <row r="16" spans="1:3">
      <c r="A16">
        <v>15</v>
      </c>
      <c r="B16" s="1">
        <v>3.8023926511429185</v>
      </c>
      <c r="C16" s="1">
        <v>124.15829950865199</v>
      </c>
    </row>
    <row r="17" spans="1:3">
      <c r="A17">
        <v>16</v>
      </c>
      <c r="B17" s="1">
        <v>12.332712790307321</v>
      </c>
      <c r="C17" s="1">
        <v>128.16599017303994</v>
      </c>
    </row>
    <row r="18" spans="1:3">
      <c r="A18">
        <v>17</v>
      </c>
      <c r="B18" s="1">
        <v>7.7547227393414104</v>
      </c>
      <c r="C18" s="1">
        <v>88.715018158513132</v>
      </c>
    </row>
    <row r="19" spans="1:3">
      <c r="A19">
        <v>18</v>
      </c>
      <c r="B19" s="1">
        <v>9.9617908261360526</v>
      </c>
      <c r="C19" s="1">
        <v>124.82909634693442</v>
      </c>
    </row>
    <row r="20" spans="1:3">
      <c r="A20">
        <v>19</v>
      </c>
      <c r="B20" s="1">
        <v>6.8878444776757108</v>
      </c>
      <c r="C20" s="1">
        <v>91.727195043794055</v>
      </c>
    </row>
    <row r="21" spans="1:3">
      <c r="A21">
        <v>20</v>
      </c>
      <c r="B21" s="1">
        <v>14.068849757377849</v>
      </c>
      <c r="C21" s="1">
        <v>94.75432599871823</v>
      </c>
    </row>
    <row r="22" spans="1:3">
      <c r="A22">
        <v>21</v>
      </c>
      <c r="B22" s="1">
        <v>5.3457136753440961</v>
      </c>
      <c r="C22" s="1">
        <v>91.176030762657547</v>
      </c>
    </row>
    <row r="23" spans="1:3">
      <c r="A23">
        <v>22</v>
      </c>
      <c r="B23" s="1">
        <v>5.4651326029236724</v>
      </c>
      <c r="C23" s="1">
        <v>130.35996581926941</v>
      </c>
    </row>
    <row r="24" spans="1:3">
      <c r="A24">
        <v>23</v>
      </c>
      <c r="B24" s="1">
        <v>13.524124881740775</v>
      </c>
      <c r="C24" s="1">
        <v>107.63618884853665</v>
      </c>
    </row>
    <row r="25" spans="1:3">
      <c r="A25">
        <v>24</v>
      </c>
      <c r="B25" s="1">
        <v>10.785424359874265</v>
      </c>
      <c r="C25" s="1">
        <v>85.841700491348007</v>
      </c>
    </row>
    <row r="26" spans="1:3">
      <c r="A26">
        <v>25</v>
      </c>
      <c r="B26" s="1">
        <v>3.1283303323465681</v>
      </c>
      <c r="C26" s="1">
        <v>152.55607776116216</v>
      </c>
    </row>
    <row r="27" spans="1:3">
      <c r="A27">
        <v>26</v>
      </c>
      <c r="B27" s="1">
        <v>12.898861659596546</v>
      </c>
      <c r="C27" s="1">
        <v>89.076052125614183</v>
      </c>
    </row>
    <row r="28" spans="1:3">
      <c r="A28">
        <v>27</v>
      </c>
      <c r="B28" s="1">
        <v>4.1400189214758747</v>
      </c>
      <c r="C28" s="1">
        <v>112.5838496047853</v>
      </c>
    </row>
    <row r="29" spans="1:3">
      <c r="A29">
        <v>28</v>
      </c>
      <c r="B29" s="1">
        <v>6.4062013611255226</v>
      </c>
      <c r="C29" s="1">
        <v>128.69151890621663</v>
      </c>
    </row>
    <row r="30" spans="1:3">
      <c r="A30">
        <v>29</v>
      </c>
      <c r="B30" s="1">
        <v>4.1931821649830621</v>
      </c>
      <c r="C30" s="1">
        <v>117.95236060670797</v>
      </c>
    </row>
    <row r="31" spans="1:3">
      <c r="A31">
        <v>30</v>
      </c>
      <c r="B31" s="1">
        <v>10.909604174932095</v>
      </c>
      <c r="C31" s="1">
        <v>90.013885921811578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16.329569383831291</v>
      </c>
      <c r="C2" s="1">
        <v>141.1062959685049</v>
      </c>
    </row>
    <row r="3" spans="1:3">
      <c r="A3">
        <v>2</v>
      </c>
      <c r="B3" s="1">
        <v>8.0712607196264532</v>
      </c>
      <c r="C3" s="1">
        <v>141.52012695699943</v>
      </c>
    </row>
    <row r="4" spans="1:3">
      <c r="A4">
        <v>3</v>
      </c>
      <c r="B4" s="1">
        <v>3.1419110690633869</v>
      </c>
      <c r="C4" s="1">
        <v>110.18799401837214</v>
      </c>
    </row>
    <row r="5" spans="1:3">
      <c r="A5">
        <v>4</v>
      </c>
      <c r="B5" s="1">
        <v>11.90560625019074</v>
      </c>
      <c r="C5" s="1">
        <v>95.436567278054142</v>
      </c>
    </row>
    <row r="6" spans="1:3">
      <c r="A6">
        <v>5</v>
      </c>
      <c r="B6" s="1">
        <v>11.588366344187751</v>
      </c>
      <c r="C6" s="1">
        <v>132.96700949125645</v>
      </c>
    </row>
    <row r="7" spans="1:3">
      <c r="A7">
        <v>6</v>
      </c>
      <c r="B7" s="1">
        <v>8.4145939512314207</v>
      </c>
      <c r="C7" s="1">
        <v>109.42625202185125</v>
      </c>
    </row>
    <row r="8" spans="1:3">
      <c r="A8">
        <v>7</v>
      </c>
      <c r="B8" s="1">
        <v>11.437757499923704</v>
      </c>
      <c r="C8" s="1">
        <v>96.273384807885989</v>
      </c>
    </row>
    <row r="9" spans="1:3">
      <c r="A9">
        <v>8</v>
      </c>
      <c r="B9" s="1">
        <v>10.983642078920866</v>
      </c>
      <c r="C9" s="1">
        <v>106.94692831202124</v>
      </c>
    </row>
    <row r="10" spans="1:3">
      <c r="A10">
        <v>9</v>
      </c>
      <c r="B10" s="1">
        <v>11.630939664906766</v>
      </c>
      <c r="C10" s="1">
        <v>131.59916989654226</v>
      </c>
    </row>
    <row r="11" spans="1:3">
      <c r="A11">
        <v>10</v>
      </c>
      <c r="B11" s="1">
        <v>3.9443952757347329</v>
      </c>
      <c r="C11" s="1">
        <v>126.65883358256782</v>
      </c>
    </row>
    <row r="12" spans="1:3">
      <c r="A12">
        <v>11</v>
      </c>
      <c r="B12" s="1">
        <v>15.40348521378216</v>
      </c>
      <c r="C12" s="1">
        <v>147.33207190160834</v>
      </c>
    </row>
    <row r="13" spans="1:3">
      <c r="A13">
        <v>12</v>
      </c>
      <c r="B13" s="1">
        <v>4.8338572344126707</v>
      </c>
      <c r="C13" s="1">
        <v>119.05606250190741</v>
      </c>
    </row>
    <row r="14" spans="1:3">
      <c r="A14">
        <v>13</v>
      </c>
      <c r="B14" s="1">
        <v>5.6006347849971014</v>
      </c>
      <c r="C14" s="1">
        <v>98.76735740226448</v>
      </c>
    </row>
    <row r="15" spans="1:3">
      <c r="A15">
        <v>14</v>
      </c>
      <c r="B15" s="1">
        <v>12.179815057832576</v>
      </c>
      <c r="C15" s="1">
        <v>96.661580248420663</v>
      </c>
    </row>
    <row r="16" spans="1:3">
      <c r="A16">
        <v>15</v>
      </c>
      <c r="B16" s="1">
        <v>15.134769737846003</v>
      </c>
      <c r="C16" s="1">
        <v>136.8123416852321</v>
      </c>
    </row>
    <row r="17" spans="1:3">
      <c r="A17">
        <v>16</v>
      </c>
      <c r="B17" s="1">
        <v>7.7100741599780269</v>
      </c>
      <c r="C17" s="1">
        <v>110.06897183141575</v>
      </c>
    </row>
    <row r="18" spans="1:3">
      <c r="A18">
        <v>17</v>
      </c>
      <c r="B18" s="1">
        <v>4.6223639637440108</v>
      </c>
      <c r="C18" s="1">
        <v>133.56578264717552</v>
      </c>
    </row>
    <row r="19" spans="1:3">
      <c r="A19">
        <v>18</v>
      </c>
      <c r="B19" s="1">
        <v>10.594531083101902</v>
      </c>
      <c r="C19" s="1">
        <v>130.11963255714591</v>
      </c>
    </row>
    <row r="20" spans="1:3">
      <c r="A20">
        <v>19</v>
      </c>
      <c r="B20" s="1">
        <v>8.1687673574022632</v>
      </c>
      <c r="C20" s="1">
        <v>98.789330729087197</v>
      </c>
    </row>
    <row r="21" spans="1:3">
      <c r="A21">
        <v>20</v>
      </c>
      <c r="B21" s="1">
        <v>4.6228217413861508</v>
      </c>
      <c r="C21" s="1">
        <v>109.40244758445998</v>
      </c>
    </row>
    <row r="22" spans="1:3">
      <c r="A22">
        <v>21</v>
      </c>
      <c r="B22" s="1">
        <v>8.2882473220007942</v>
      </c>
      <c r="C22" s="1">
        <v>142.85866878261666</v>
      </c>
    </row>
    <row r="23" spans="1:3">
      <c r="A23">
        <v>22</v>
      </c>
      <c r="B23" s="1">
        <v>9.0321359904782241</v>
      </c>
      <c r="C23" s="1">
        <v>131.11392559587389</v>
      </c>
    </row>
    <row r="24" spans="1:3">
      <c r="A24">
        <v>23</v>
      </c>
      <c r="B24" s="1">
        <v>6.612323374126408</v>
      </c>
      <c r="C24" s="1">
        <v>96.976531266212959</v>
      </c>
    </row>
    <row r="25" spans="1:3">
      <c r="A25">
        <v>24</v>
      </c>
      <c r="B25" s="1">
        <v>6.8393810846278269</v>
      </c>
      <c r="C25" s="1">
        <v>148.01507614368114</v>
      </c>
    </row>
    <row r="26" spans="1:3">
      <c r="A26">
        <v>25</v>
      </c>
      <c r="B26" s="1">
        <v>12.540086062196723</v>
      </c>
      <c r="C26" s="1">
        <v>117.46848963896603</v>
      </c>
    </row>
    <row r="27" spans="1:3">
      <c r="A27">
        <v>26</v>
      </c>
      <c r="B27" s="1">
        <v>12.934690389721366</v>
      </c>
      <c r="C27" s="1">
        <v>146.06311227759636</v>
      </c>
    </row>
    <row r="28" spans="1:3">
      <c r="A28">
        <v>27</v>
      </c>
      <c r="B28" s="1">
        <v>6.8338877529221476</v>
      </c>
      <c r="C28" s="1">
        <v>145.42954802087465</v>
      </c>
    </row>
    <row r="29" spans="1:3">
      <c r="A29">
        <v>28</v>
      </c>
      <c r="B29" s="1">
        <v>9.6753135776848662</v>
      </c>
      <c r="C29" s="1">
        <v>113.80260628070926</v>
      </c>
    </row>
    <row r="30" spans="1:3">
      <c r="A30">
        <v>29</v>
      </c>
      <c r="B30" s="1">
        <v>10.669606616412855</v>
      </c>
      <c r="C30" s="1">
        <v>93.491927854243599</v>
      </c>
    </row>
    <row r="31" spans="1:3">
      <c r="A31">
        <v>30</v>
      </c>
      <c r="B31" s="1">
        <v>7.2211676381725516</v>
      </c>
      <c r="C31" s="1">
        <v>97.302468947416614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17.203009125034335</v>
      </c>
      <c r="C2" s="1">
        <v>130.99246192815943</v>
      </c>
    </row>
    <row r="3" spans="1:3">
      <c r="A3">
        <v>2</v>
      </c>
      <c r="B3" s="1">
        <v>8.8362071596423242</v>
      </c>
      <c r="C3" s="1">
        <v>129.33530686361277</v>
      </c>
    </row>
    <row r="4" spans="1:3">
      <c r="A4">
        <v>3</v>
      </c>
      <c r="B4" s="1">
        <v>8.4869228186895356</v>
      </c>
      <c r="C4" s="1">
        <v>110.39857173375653</v>
      </c>
    </row>
    <row r="5" spans="1:3">
      <c r="A5">
        <v>4</v>
      </c>
      <c r="B5" s="1">
        <v>9.5572069460127569</v>
      </c>
      <c r="C5" s="1">
        <v>102.57667775505844</v>
      </c>
    </row>
    <row r="6" spans="1:3">
      <c r="A6">
        <v>5</v>
      </c>
      <c r="B6" s="1">
        <v>17.757835627307962</v>
      </c>
      <c r="C6" s="1">
        <v>103.99273659474471</v>
      </c>
    </row>
    <row r="7" spans="1:3">
      <c r="A7">
        <v>6</v>
      </c>
      <c r="B7" s="1">
        <v>6.991363261818293</v>
      </c>
      <c r="C7" s="1">
        <v>138.73043000579852</v>
      </c>
    </row>
    <row r="8" spans="1:3">
      <c r="A8">
        <v>7</v>
      </c>
      <c r="B8" s="1">
        <v>11.080233161412396</v>
      </c>
      <c r="C8" s="1">
        <v>124.08612323374126</v>
      </c>
    </row>
    <row r="9" spans="1:3">
      <c r="A9">
        <v>8</v>
      </c>
      <c r="B9" s="1">
        <v>6.0616168706320384</v>
      </c>
      <c r="C9" s="1">
        <v>104.75722525711845</v>
      </c>
    </row>
    <row r="10" spans="1:3">
      <c r="A10">
        <v>9</v>
      </c>
      <c r="B10" s="1">
        <v>14.012756736960966</v>
      </c>
      <c r="C10" s="1">
        <v>111.18289742728965</v>
      </c>
    </row>
    <row r="11" spans="1:3">
      <c r="A11">
        <v>10</v>
      </c>
      <c r="B11" s="1">
        <v>5.0499282815027318</v>
      </c>
      <c r="C11" s="1">
        <v>95.587939085055083</v>
      </c>
    </row>
    <row r="12" spans="1:3">
      <c r="A12">
        <v>11</v>
      </c>
      <c r="B12" s="1">
        <v>14.039307840205083</v>
      </c>
      <c r="C12" s="1">
        <v>109.32279427472763</v>
      </c>
    </row>
    <row r="13" spans="1:3">
      <c r="A13">
        <v>12</v>
      </c>
      <c r="B13" s="1">
        <v>12.956663716544083</v>
      </c>
      <c r="C13" s="1">
        <v>108.25617236854151</v>
      </c>
    </row>
    <row r="14" spans="1:3">
      <c r="A14">
        <v>13</v>
      </c>
      <c r="B14" s="1">
        <v>14.482436597796564</v>
      </c>
      <c r="C14" s="1">
        <v>93.071687978759115</v>
      </c>
    </row>
    <row r="15" spans="1:3">
      <c r="A15">
        <v>14</v>
      </c>
      <c r="B15" s="1">
        <v>4.7830439161351359</v>
      </c>
      <c r="C15" s="1">
        <v>112.69051179540391</v>
      </c>
    </row>
    <row r="16" spans="1:3">
      <c r="A16">
        <v>15</v>
      </c>
      <c r="B16" s="1">
        <v>12.617450483718375</v>
      </c>
      <c r="C16" s="1">
        <v>99.875789666432695</v>
      </c>
    </row>
    <row r="17" spans="1:3">
      <c r="A17">
        <v>16</v>
      </c>
      <c r="B17" s="1">
        <v>5.2879726554155093</v>
      </c>
      <c r="C17" s="1">
        <v>120.49256874294259</v>
      </c>
    </row>
    <row r="18" spans="1:3">
      <c r="A18">
        <v>17</v>
      </c>
      <c r="B18" s="1">
        <v>9.0989715262306596</v>
      </c>
      <c r="C18" s="1">
        <v>126.26819666127506</v>
      </c>
    </row>
    <row r="19" spans="1:3">
      <c r="A19">
        <v>18</v>
      </c>
      <c r="B19" s="1">
        <v>13.66393017365032</v>
      </c>
      <c r="C19" s="1">
        <v>138.66328928495133</v>
      </c>
    </row>
    <row r="20" spans="1:3">
      <c r="A20">
        <v>19</v>
      </c>
      <c r="B20" s="1">
        <v>15.073885311441389</v>
      </c>
      <c r="C20" s="1">
        <v>139.53764458143866</v>
      </c>
    </row>
    <row r="21" spans="1:3">
      <c r="A21">
        <v>20</v>
      </c>
      <c r="B21" s="1">
        <v>8.7359538560136727</v>
      </c>
      <c r="C21" s="1">
        <v>116.067384868923</v>
      </c>
    </row>
    <row r="22" spans="1:3">
      <c r="A22">
        <v>21</v>
      </c>
      <c r="B22" s="1">
        <v>16.956724753563037</v>
      </c>
      <c r="C22" s="1">
        <v>94.005554368724631</v>
      </c>
    </row>
    <row r="23" spans="1:3">
      <c r="A23">
        <v>22</v>
      </c>
      <c r="B23" s="1">
        <v>8.5226294747764513</v>
      </c>
      <c r="C23" s="1">
        <v>127.61558885464035</v>
      </c>
    </row>
    <row r="24" spans="1:3">
      <c r="A24">
        <v>23</v>
      </c>
      <c r="B24" s="1">
        <v>11.093050935392315</v>
      </c>
      <c r="C24" s="1">
        <v>129.46958830530718</v>
      </c>
    </row>
    <row r="25" spans="1:3">
      <c r="A25">
        <v>24</v>
      </c>
      <c r="B25" s="1">
        <v>16.227027191991944</v>
      </c>
      <c r="C25" s="1">
        <v>125.99353007599109</v>
      </c>
    </row>
    <row r="26" spans="1:3">
      <c r="A26">
        <v>25</v>
      </c>
      <c r="B26" s="1">
        <v>15.836085085604418</v>
      </c>
      <c r="C26" s="1">
        <v>124.76973784600361</v>
      </c>
    </row>
    <row r="27" spans="1:3">
      <c r="A27">
        <v>26</v>
      </c>
      <c r="B27" s="1">
        <v>13.834681234168523</v>
      </c>
      <c r="C27" s="1">
        <v>104.58479567857906</v>
      </c>
    </row>
    <row r="28" spans="1:3">
      <c r="A28">
        <v>27</v>
      </c>
      <c r="B28" s="1">
        <v>16.289284951322976</v>
      </c>
      <c r="C28" s="1">
        <v>138.14905240028077</v>
      </c>
    </row>
    <row r="29" spans="1:3">
      <c r="A29">
        <v>28</v>
      </c>
      <c r="B29" s="1">
        <v>6.2973723563341171</v>
      </c>
      <c r="C29" s="1">
        <v>139.10580767235328</v>
      </c>
    </row>
    <row r="30" spans="1:3">
      <c r="A30">
        <v>29</v>
      </c>
      <c r="B30" s="1">
        <v>16.491622669148839</v>
      </c>
      <c r="C30" s="1">
        <v>94.258857997375401</v>
      </c>
    </row>
    <row r="31" spans="1:3">
      <c r="A31">
        <v>30</v>
      </c>
      <c r="B31" s="1">
        <v>15.744071779534286</v>
      </c>
      <c r="C31" s="1">
        <v>90.825525681325729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3.3411969359416487</v>
      </c>
      <c r="C2" s="1">
        <v>115.59288308359019</v>
      </c>
    </row>
    <row r="3" spans="1:3">
      <c r="A3">
        <v>2</v>
      </c>
      <c r="B3" s="1">
        <v>5.2027039399395729</v>
      </c>
      <c r="C3" s="1">
        <v>123.02444532609027</v>
      </c>
    </row>
    <row r="4" spans="1:3">
      <c r="A4">
        <v>3</v>
      </c>
      <c r="B4" s="1">
        <v>6.6015503402813804</v>
      </c>
      <c r="C4" s="1">
        <v>125.73723563341167</v>
      </c>
    </row>
    <row r="5" spans="1:3">
      <c r="A5">
        <v>4</v>
      </c>
      <c r="B5" s="1">
        <v>5.1021149327066873</v>
      </c>
      <c r="C5" s="1">
        <v>123.71935178685874</v>
      </c>
    </row>
    <row r="6" spans="1:3">
      <c r="A6">
        <v>5</v>
      </c>
      <c r="B6" s="1">
        <v>4.5690176091799675</v>
      </c>
      <c r="C6" s="1">
        <v>122.99789422284616</v>
      </c>
    </row>
    <row r="7" spans="1:3">
      <c r="A7">
        <v>6</v>
      </c>
      <c r="B7" s="1">
        <v>6.0801721243934441</v>
      </c>
      <c r="C7" s="1">
        <v>125.72808008056887</v>
      </c>
    </row>
    <row r="8" spans="1:3">
      <c r="A8">
        <v>7</v>
      </c>
      <c r="B8" s="1">
        <v>5.3562730796227918</v>
      </c>
      <c r="C8" s="1">
        <v>100.1209143345439</v>
      </c>
    </row>
    <row r="9" spans="1:3">
      <c r="A9">
        <v>8</v>
      </c>
      <c r="B9" s="1">
        <v>3.4647358623004854</v>
      </c>
      <c r="C9" s="1">
        <v>111.34195989867855</v>
      </c>
    </row>
    <row r="10" spans="1:3">
      <c r="A10">
        <v>9</v>
      </c>
      <c r="B10" s="1">
        <v>5.233100375377667</v>
      </c>
      <c r="C10" s="1">
        <v>103.01040681173131</v>
      </c>
    </row>
    <row r="11" spans="1:3">
      <c r="A11">
        <v>10</v>
      </c>
      <c r="B11" s="1">
        <v>5.9338053529465622</v>
      </c>
      <c r="C11" s="1">
        <v>101.38895840327159</v>
      </c>
    </row>
    <row r="12" spans="1:3">
      <c r="A12">
        <v>11</v>
      </c>
      <c r="B12" s="1">
        <v>4.9534287545396278</v>
      </c>
      <c r="C12" s="1">
        <v>112.95974608600116</v>
      </c>
    </row>
    <row r="13" spans="1:3">
      <c r="A13">
        <v>12</v>
      </c>
      <c r="B13" s="1">
        <v>5.1133457441938539</v>
      </c>
      <c r="C13" s="1">
        <v>112.5523239844966</v>
      </c>
    </row>
    <row r="14" spans="1:3">
      <c r="A14">
        <v>13</v>
      </c>
      <c r="B14" s="1">
        <v>5.2249214148380991</v>
      </c>
      <c r="C14" s="1">
        <v>102.61030915250099</v>
      </c>
    </row>
    <row r="15" spans="1:3">
      <c r="A15">
        <v>14</v>
      </c>
      <c r="B15" s="1">
        <v>4.3722342600787378</v>
      </c>
      <c r="C15" s="1">
        <v>115.69725638599812</v>
      </c>
    </row>
    <row r="16" spans="1:3">
      <c r="A16">
        <v>15</v>
      </c>
      <c r="B16" s="1">
        <v>6.7171544541764581</v>
      </c>
      <c r="C16" s="1">
        <v>112.34449293496505</v>
      </c>
    </row>
    <row r="17" spans="1:3">
      <c r="A17">
        <v>16</v>
      </c>
      <c r="B17" s="1">
        <v>3.6244087038789026</v>
      </c>
      <c r="C17" s="1">
        <v>102.61397137363811</v>
      </c>
    </row>
    <row r="18" spans="1:3">
      <c r="A18">
        <v>17</v>
      </c>
      <c r="B18" s="1">
        <v>5.168401135288553</v>
      </c>
      <c r="C18" s="1">
        <v>122.36158330027162</v>
      </c>
    </row>
    <row r="19" spans="1:3">
      <c r="A19">
        <v>18</v>
      </c>
      <c r="B19" s="1">
        <v>5.4628437147129736</v>
      </c>
      <c r="C19" s="1">
        <v>102.86300241096225</v>
      </c>
    </row>
    <row r="20" spans="1:3">
      <c r="A20">
        <v>19</v>
      </c>
      <c r="B20" s="1">
        <v>6.6270638142033143</v>
      </c>
      <c r="C20" s="1">
        <v>112.89382610553301</v>
      </c>
    </row>
    <row r="21" spans="1:3">
      <c r="A21">
        <v>20</v>
      </c>
      <c r="B21" s="1">
        <v>4.5137180700094603</v>
      </c>
      <c r="C21" s="1">
        <v>120.89577929013947</v>
      </c>
    </row>
    <row r="22" spans="1:3">
      <c r="A22">
        <v>21</v>
      </c>
      <c r="B22" s="1">
        <v>6.1513412884914702</v>
      </c>
      <c r="C22" s="1">
        <v>109.50993377483444</v>
      </c>
    </row>
    <row r="23" spans="1:3">
      <c r="A23">
        <v>22</v>
      </c>
      <c r="B23" s="1">
        <v>3.0384533219397563</v>
      </c>
      <c r="C23" s="1">
        <v>100.11267433698538</v>
      </c>
    </row>
    <row r="24" spans="1:3">
      <c r="A24">
        <v>23</v>
      </c>
      <c r="B24" s="1">
        <v>5.8973052156132688</v>
      </c>
      <c r="C24" s="1">
        <v>111.05355998413037</v>
      </c>
    </row>
    <row r="25" spans="1:3">
      <c r="A25">
        <v>24</v>
      </c>
      <c r="B25" s="1">
        <v>6.000335703604236</v>
      </c>
      <c r="C25" s="1">
        <v>108.69508957182531</v>
      </c>
    </row>
    <row r="26" spans="1:3">
      <c r="A26">
        <v>25</v>
      </c>
      <c r="B26" s="1">
        <v>5.9322183904538104</v>
      </c>
      <c r="C26" s="1">
        <v>103.23654896694845</v>
      </c>
    </row>
    <row r="27" spans="1:3">
      <c r="A27">
        <v>26</v>
      </c>
      <c r="B27" s="1">
        <v>4.5752433851130707</v>
      </c>
      <c r="C27" s="1">
        <v>115.65880306405836</v>
      </c>
    </row>
    <row r="28" spans="1:3">
      <c r="A28">
        <v>27</v>
      </c>
      <c r="B28" s="1">
        <v>5.8439588610492263</v>
      </c>
      <c r="C28" s="1">
        <v>109.91918698690756</v>
      </c>
    </row>
    <row r="29" spans="1:3">
      <c r="A29">
        <v>28</v>
      </c>
      <c r="B29" s="1">
        <v>6.9038056581316569</v>
      </c>
      <c r="C29" s="1">
        <v>108.54127628406629</v>
      </c>
    </row>
    <row r="30" spans="1:3">
      <c r="A30">
        <v>29</v>
      </c>
      <c r="B30" s="1">
        <v>5.749961851863155</v>
      </c>
      <c r="C30" s="1">
        <v>105.52360606707968</v>
      </c>
    </row>
    <row r="31" spans="1:3">
      <c r="A31">
        <v>30</v>
      </c>
      <c r="B31" s="1">
        <v>3.2650227362895596</v>
      </c>
      <c r="C31" s="1">
        <v>99.859981078524129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3.665242469557787</v>
      </c>
      <c r="C2" s="1">
        <v>99.849696340830718</v>
      </c>
    </row>
    <row r="3" spans="1:3">
      <c r="A3">
        <v>2</v>
      </c>
      <c r="B3" s="1">
        <v>7.1484725486007266</v>
      </c>
      <c r="C3" s="1">
        <v>111.40730002746666</v>
      </c>
    </row>
    <row r="4" spans="1:3">
      <c r="A4">
        <v>3</v>
      </c>
      <c r="B4" s="1">
        <v>8.4785302285836366</v>
      </c>
      <c r="C4" s="1">
        <v>104.39915158543657</v>
      </c>
    </row>
    <row r="5" spans="1:3">
      <c r="A5">
        <v>4</v>
      </c>
      <c r="B5" s="1">
        <v>4.323221533860286</v>
      </c>
      <c r="C5" s="1">
        <v>135.65181432538833</v>
      </c>
    </row>
    <row r="6" spans="1:3">
      <c r="A6">
        <v>5</v>
      </c>
      <c r="B6" s="1">
        <v>6.2612689596240116</v>
      </c>
      <c r="C6" s="1">
        <v>105.54860072634052</v>
      </c>
    </row>
    <row r="7" spans="1:3">
      <c r="A7">
        <v>6</v>
      </c>
      <c r="B7" s="1">
        <v>5.5985900448622088</v>
      </c>
      <c r="C7" s="1">
        <v>95.889736625263225</v>
      </c>
    </row>
    <row r="8" spans="1:3">
      <c r="A8">
        <v>7</v>
      </c>
      <c r="B8" s="1">
        <v>4.9265114291817991</v>
      </c>
      <c r="C8" s="1">
        <v>129.80251472518083</v>
      </c>
    </row>
    <row r="9" spans="1:3">
      <c r="A9">
        <v>8</v>
      </c>
      <c r="B9" s="1">
        <v>8.0433668019653908</v>
      </c>
      <c r="C9" s="1">
        <v>128.1280251472518</v>
      </c>
    </row>
    <row r="10" spans="1:3">
      <c r="A10">
        <v>9</v>
      </c>
      <c r="B10" s="1">
        <v>5.532578508865627</v>
      </c>
      <c r="C10" s="1">
        <v>126.33671071504867</v>
      </c>
    </row>
    <row r="11" spans="1:3">
      <c r="A11">
        <v>10</v>
      </c>
      <c r="B11" s="1">
        <v>7.6223029267250588</v>
      </c>
      <c r="C11" s="1">
        <v>130.05227820673238</v>
      </c>
    </row>
    <row r="12" spans="1:3">
      <c r="A12">
        <v>11</v>
      </c>
      <c r="B12" s="1">
        <v>3.9500106814783167</v>
      </c>
      <c r="C12" s="1">
        <v>124.20834986419263</v>
      </c>
    </row>
    <row r="13" spans="1:3">
      <c r="A13">
        <v>12</v>
      </c>
      <c r="B13" s="1">
        <v>9.8673360393078404</v>
      </c>
      <c r="C13" s="1">
        <v>102.86028626361889</v>
      </c>
    </row>
    <row r="14" spans="1:3">
      <c r="A14">
        <v>13</v>
      </c>
      <c r="B14" s="1">
        <v>9.8444776757103192</v>
      </c>
      <c r="C14" s="1">
        <v>110.43375957518235</v>
      </c>
    </row>
    <row r="15" spans="1:3">
      <c r="A15">
        <v>14</v>
      </c>
      <c r="B15" s="1">
        <v>8.9365520187994019</v>
      </c>
      <c r="C15" s="1">
        <v>94.41935483870968</v>
      </c>
    </row>
    <row r="16" spans="1:3">
      <c r="A16">
        <v>15</v>
      </c>
      <c r="B16" s="1">
        <v>8.4620807519760746</v>
      </c>
      <c r="C16" s="1">
        <v>104.44749290444655</v>
      </c>
    </row>
    <row r="17" spans="1:3">
      <c r="A17">
        <v>16</v>
      </c>
      <c r="B17" s="1">
        <v>6.3638111514633628</v>
      </c>
      <c r="C17" s="1">
        <v>132.10007019257179</v>
      </c>
    </row>
    <row r="18" spans="1:3">
      <c r="A18">
        <v>17</v>
      </c>
      <c r="B18" s="1">
        <v>3.0660115359965818</v>
      </c>
      <c r="C18" s="1">
        <v>110.87554551835689</v>
      </c>
    </row>
    <row r="19" spans="1:3">
      <c r="A19">
        <v>18</v>
      </c>
      <c r="B19" s="1">
        <v>7.7041230506302067</v>
      </c>
      <c r="C19" s="1">
        <v>98.563280129398478</v>
      </c>
    </row>
    <row r="20" spans="1:3">
      <c r="A20">
        <v>19</v>
      </c>
      <c r="B20" s="1">
        <v>3.1548814355906858</v>
      </c>
      <c r="C20" s="1">
        <v>101.83303323465682</v>
      </c>
    </row>
    <row r="21" spans="1:3">
      <c r="A21">
        <v>20</v>
      </c>
      <c r="B21" s="1">
        <v>4.4129459517197178</v>
      </c>
      <c r="C21" s="1">
        <v>119.8643452253792</v>
      </c>
    </row>
    <row r="22" spans="1:3">
      <c r="A22">
        <v>21</v>
      </c>
      <c r="B22" s="1">
        <v>8.1892757957701345</v>
      </c>
      <c r="C22" s="1">
        <v>135.71761223181861</v>
      </c>
    </row>
    <row r="23" spans="1:3">
      <c r="A23">
        <v>22</v>
      </c>
      <c r="B23" s="1">
        <v>3.5607776116214485</v>
      </c>
      <c r="C23" s="1">
        <v>99.936979277932068</v>
      </c>
    </row>
    <row r="24" spans="1:3">
      <c r="A24">
        <v>23</v>
      </c>
      <c r="B24" s="1">
        <v>3.7949156163212989</v>
      </c>
      <c r="C24" s="1">
        <v>101.10522782067324</v>
      </c>
    </row>
    <row r="25" spans="1:3">
      <c r="A25">
        <v>24</v>
      </c>
      <c r="B25" s="1">
        <v>7.1961119418927577</v>
      </c>
      <c r="C25" s="1">
        <v>122.60905789361247</v>
      </c>
    </row>
    <row r="26" spans="1:3">
      <c r="A26">
        <v>25</v>
      </c>
      <c r="B26" s="1">
        <v>7.7289040803247167</v>
      </c>
      <c r="C26" s="1">
        <v>93.563982055116426</v>
      </c>
    </row>
    <row r="27" spans="1:3">
      <c r="A27">
        <v>26</v>
      </c>
      <c r="B27" s="1">
        <v>6.2807092501602222</v>
      </c>
      <c r="C27" s="1">
        <v>116.82152775658437</v>
      </c>
    </row>
    <row r="28" spans="1:3">
      <c r="A28">
        <v>27</v>
      </c>
      <c r="B28" s="1">
        <v>7.6009399700918605</v>
      </c>
      <c r="C28" s="1">
        <v>133.12598040711691</v>
      </c>
    </row>
    <row r="29" spans="1:3">
      <c r="A29">
        <v>28</v>
      </c>
      <c r="B29" s="1">
        <v>9.93527024140141</v>
      </c>
      <c r="C29" s="1">
        <v>120.65257728812524</v>
      </c>
    </row>
    <row r="30" spans="1:3">
      <c r="A30">
        <v>29</v>
      </c>
      <c r="B30" s="1">
        <v>9.8839991454817344</v>
      </c>
      <c r="C30" s="1">
        <v>110.77617725150304</v>
      </c>
    </row>
    <row r="31" spans="1:3">
      <c r="A31">
        <v>30</v>
      </c>
      <c r="B31" s="1">
        <v>6.1734672078615684</v>
      </c>
      <c r="C31" s="1">
        <v>118.21939756462294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5.0669576097903377</v>
      </c>
      <c r="C2" s="1">
        <v>99.531144138920254</v>
      </c>
    </row>
    <row r="3" spans="1:3">
      <c r="A3">
        <v>2</v>
      </c>
      <c r="B3" s="1">
        <v>3.491836298715171</v>
      </c>
      <c r="C3" s="1">
        <v>108.84142582476272</v>
      </c>
    </row>
    <row r="4" spans="1:3">
      <c r="A4">
        <v>3</v>
      </c>
      <c r="B4" s="1">
        <v>11.048829615161596</v>
      </c>
      <c r="C4" s="1">
        <v>106.29160435804314</v>
      </c>
    </row>
    <row r="5" spans="1:3">
      <c r="A5">
        <v>4</v>
      </c>
      <c r="B5" s="1">
        <v>3.0574968718527789</v>
      </c>
      <c r="C5" s="1">
        <v>105.34308908352916</v>
      </c>
    </row>
    <row r="6" spans="1:3">
      <c r="A6">
        <v>5</v>
      </c>
      <c r="B6" s="1">
        <v>3.4720603045747245</v>
      </c>
      <c r="C6" s="1">
        <v>96.348673970763272</v>
      </c>
    </row>
    <row r="7" spans="1:3">
      <c r="A7">
        <v>6</v>
      </c>
      <c r="B7" s="1">
        <v>5.4701681569872127</v>
      </c>
      <c r="C7" s="1">
        <v>106.74205755790886</v>
      </c>
    </row>
    <row r="8" spans="1:3">
      <c r="A8">
        <v>7</v>
      </c>
      <c r="B8" s="1">
        <v>6.0590533158360547</v>
      </c>
      <c r="C8" s="1">
        <v>116.64012573625904</v>
      </c>
    </row>
    <row r="9" spans="1:3">
      <c r="A9">
        <v>8</v>
      </c>
      <c r="B9" s="1">
        <v>13.623371074556719</v>
      </c>
      <c r="C9" s="1">
        <v>94.779412213507499</v>
      </c>
    </row>
    <row r="10" spans="1:3">
      <c r="A10">
        <v>9</v>
      </c>
      <c r="B10" s="1">
        <v>13.697714163640248</v>
      </c>
      <c r="C10" s="1">
        <v>118.68730735190893</v>
      </c>
    </row>
    <row r="11" spans="1:3">
      <c r="A11">
        <v>10</v>
      </c>
      <c r="B11" s="1">
        <v>14.897824030274361</v>
      </c>
      <c r="C11" s="1">
        <v>91.519119846186712</v>
      </c>
    </row>
    <row r="12" spans="1:3">
      <c r="A12">
        <v>11</v>
      </c>
      <c r="B12" s="1">
        <v>7.8659932248908966</v>
      </c>
      <c r="C12" s="1">
        <v>115.75112155522325</v>
      </c>
    </row>
    <row r="13" spans="1:3">
      <c r="A13">
        <v>12</v>
      </c>
      <c r="B13" s="1">
        <v>6.7402264473403122</v>
      </c>
      <c r="C13" s="1">
        <v>120.69237342448194</v>
      </c>
    </row>
    <row r="14" spans="1:3">
      <c r="A14">
        <v>13</v>
      </c>
      <c r="B14" s="1">
        <v>12.32181768242439</v>
      </c>
      <c r="C14" s="1">
        <v>110.48667867061373</v>
      </c>
    </row>
    <row r="15" spans="1:3">
      <c r="A15">
        <v>14</v>
      </c>
      <c r="B15" s="1">
        <v>8.3406170842616056</v>
      </c>
      <c r="C15" s="1">
        <v>119.67610705893125</v>
      </c>
    </row>
    <row r="16" spans="1:3">
      <c r="A16">
        <v>15</v>
      </c>
      <c r="B16" s="1">
        <v>13.862880336924345</v>
      </c>
      <c r="C16" s="1">
        <v>104.10983611560411</v>
      </c>
    </row>
    <row r="17" spans="1:3">
      <c r="A17">
        <v>16</v>
      </c>
      <c r="B17" s="1">
        <v>10.951414532914214</v>
      </c>
      <c r="C17" s="1">
        <v>106.64226203192236</v>
      </c>
    </row>
    <row r="18" spans="1:3">
      <c r="A18">
        <v>17</v>
      </c>
      <c r="B18" s="1">
        <v>13.543900875881222</v>
      </c>
      <c r="C18" s="1">
        <v>91.017395550401318</v>
      </c>
    </row>
    <row r="19" spans="1:3">
      <c r="A19">
        <v>18</v>
      </c>
      <c r="B19" s="1">
        <v>9.7245704519791243</v>
      </c>
      <c r="C19" s="1">
        <v>118.53715628528703</v>
      </c>
    </row>
    <row r="20" spans="1:3">
      <c r="A20">
        <v>19</v>
      </c>
      <c r="B20" s="1">
        <v>10.710074159978026</v>
      </c>
      <c r="C20" s="1">
        <v>119.34650715659048</v>
      </c>
    </row>
    <row r="21" spans="1:3">
      <c r="A21">
        <v>20</v>
      </c>
      <c r="B21" s="1">
        <v>4.9695425275429548</v>
      </c>
      <c r="C21" s="1">
        <v>105.92812891018403</v>
      </c>
    </row>
    <row r="22" spans="1:3">
      <c r="A22">
        <v>21</v>
      </c>
      <c r="B22" s="1">
        <v>7.144901882992035</v>
      </c>
      <c r="C22" s="1">
        <v>106.83178197576831</v>
      </c>
    </row>
    <row r="23" spans="1:3">
      <c r="A23">
        <v>22</v>
      </c>
      <c r="B23" s="1">
        <v>13.946012756736963</v>
      </c>
      <c r="C23" s="1">
        <v>94.126621295815909</v>
      </c>
    </row>
    <row r="24" spans="1:3">
      <c r="A24">
        <v>23</v>
      </c>
      <c r="B24" s="1">
        <v>6.9954832605975525</v>
      </c>
      <c r="C24" s="1">
        <v>111.34638508255257</v>
      </c>
    </row>
    <row r="25" spans="1:3">
      <c r="A25">
        <v>24</v>
      </c>
      <c r="B25" s="1">
        <v>13.193792535172582</v>
      </c>
      <c r="C25" s="1">
        <v>109.99502548295541</v>
      </c>
    </row>
    <row r="26" spans="1:3">
      <c r="A26">
        <v>25</v>
      </c>
      <c r="B26" s="1">
        <v>3.4423963133640552</v>
      </c>
      <c r="C26" s="1">
        <v>105.26160466322824</v>
      </c>
    </row>
    <row r="27" spans="1:3">
      <c r="A27">
        <v>26</v>
      </c>
      <c r="B27" s="1">
        <v>9.5103305154576248</v>
      </c>
      <c r="C27" s="1">
        <v>94.424176763206887</v>
      </c>
    </row>
    <row r="28" spans="1:3">
      <c r="A28">
        <v>27</v>
      </c>
      <c r="B28" s="1">
        <v>8.8258613849299614</v>
      </c>
      <c r="C28" s="1">
        <v>101.25330362865077</v>
      </c>
    </row>
    <row r="29" spans="1:3">
      <c r="A29">
        <v>28</v>
      </c>
      <c r="B29" s="1">
        <v>12.433881649220252</v>
      </c>
      <c r="C29" s="1">
        <v>115.19995727408673</v>
      </c>
    </row>
    <row r="30" spans="1:3">
      <c r="A30">
        <v>29</v>
      </c>
      <c r="B30" s="1">
        <v>8.6138187810907318</v>
      </c>
      <c r="C30" s="1">
        <v>112.90191351054415</v>
      </c>
    </row>
    <row r="31" spans="1:3">
      <c r="A31">
        <v>30</v>
      </c>
      <c r="B31" s="1">
        <v>6.0663777581102938</v>
      </c>
      <c r="C31" s="1">
        <v>97.667073580126342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topLeftCell="A2" workbookViewId="0">
      <selection activeCell="B40" sqref="B40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6.1926633503219701</v>
      </c>
      <c r="C2" s="1">
        <v>121.28589739677113</v>
      </c>
    </row>
    <row r="3" spans="1:3">
      <c r="A3">
        <v>2</v>
      </c>
      <c r="B3" s="1">
        <v>7.8275399029511394</v>
      </c>
      <c r="C3" s="1">
        <v>109.32340464491715</v>
      </c>
    </row>
    <row r="4" spans="1:3">
      <c r="A4">
        <v>3</v>
      </c>
      <c r="B4" s="1">
        <v>8.8575395977660456</v>
      </c>
      <c r="C4" s="1">
        <v>101.0254219183935</v>
      </c>
    </row>
    <row r="5" spans="1:3">
      <c r="A5">
        <v>4</v>
      </c>
      <c r="B5" s="1">
        <v>9.7364726706747646</v>
      </c>
      <c r="C5" s="1">
        <v>121.8390453810236</v>
      </c>
    </row>
    <row r="6" spans="1:3">
      <c r="A6">
        <v>5</v>
      </c>
      <c r="B6" s="1">
        <v>14.875179296243171</v>
      </c>
      <c r="C6" s="1">
        <v>119.03897213660085</v>
      </c>
    </row>
    <row r="7" spans="1:3">
      <c r="A7">
        <v>6</v>
      </c>
      <c r="B7" s="1">
        <v>12.086092715231787</v>
      </c>
      <c r="C7" s="1">
        <v>118.82381664479507</v>
      </c>
    </row>
    <row r="8" spans="1:3">
      <c r="A8">
        <v>7</v>
      </c>
      <c r="B8" s="1">
        <v>9.7157200842310871</v>
      </c>
      <c r="C8" s="1">
        <v>121.91381572923979</v>
      </c>
    </row>
    <row r="9" spans="1:3">
      <c r="A9">
        <v>8</v>
      </c>
      <c r="B9" s="1">
        <v>12.60887478255562</v>
      </c>
      <c r="C9" s="1">
        <v>113.014618366039</v>
      </c>
    </row>
    <row r="10" spans="1:3">
      <c r="A10">
        <v>9</v>
      </c>
      <c r="B10" s="1">
        <v>10.876644184698019</v>
      </c>
      <c r="C10" s="1">
        <v>102.98852504043703</v>
      </c>
    </row>
    <row r="11" spans="1:3">
      <c r="A11">
        <v>10</v>
      </c>
      <c r="B11" s="1">
        <v>7.3551133762627039</v>
      </c>
      <c r="C11" s="1">
        <v>112.55607776116214</v>
      </c>
    </row>
    <row r="12" spans="1:3">
      <c r="A12">
        <v>11</v>
      </c>
      <c r="B12" s="1">
        <v>12.701345866267891</v>
      </c>
      <c r="C12" s="1">
        <v>124.91531113620411</v>
      </c>
    </row>
    <row r="13" spans="1:3">
      <c r="A13">
        <v>12</v>
      </c>
      <c r="B13" s="1">
        <v>11.433301797540208</v>
      </c>
      <c r="C13" s="1">
        <v>113.56776635029145</v>
      </c>
    </row>
    <row r="14" spans="1:3">
      <c r="A14">
        <v>13</v>
      </c>
      <c r="B14" s="1">
        <v>8.5770744956816305</v>
      </c>
      <c r="C14" s="1">
        <v>111.17893002105777</v>
      </c>
    </row>
    <row r="15" spans="1:3">
      <c r="A15">
        <v>14</v>
      </c>
      <c r="B15" s="1">
        <v>9.1712698751792967</v>
      </c>
      <c r="C15" s="1">
        <v>117.85714285714286</v>
      </c>
    </row>
    <row r="16" spans="1:3">
      <c r="A16">
        <v>15</v>
      </c>
      <c r="B16" s="1">
        <v>10.174413281655323</v>
      </c>
      <c r="C16" s="1">
        <v>116.12216559343241</v>
      </c>
    </row>
    <row r="17" spans="1:3">
      <c r="A17">
        <v>16</v>
      </c>
      <c r="B17" s="1">
        <v>7.2214423047578356</v>
      </c>
      <c r="C17" s="1">
        <v>103.43104342783899</v>
      </c>
    </row>
    <row r="18" spans="1:3">
      <c r="A18">
        <v>17</v>
      </c>
      <c r="B18" s="1">
        <v>5.6704916531876579</v>
      </c>
      <c r="C18" s="1">
        <v>121.6948454237495</v>
      </c>
    </row>
    <row r="19" spans="1:3">
      <c r="A19">
        <v>18</v>
      </c>
      <c r="B19" s="1">
        <v>7.2714926602984713</v>
      </c>
      <c r="C19" s="1">
        <v>109.32264168218025</v>
      </c>
    </row>
    <row r="20" spans="1:3">
      <c r="A20">
        <v>19</v>
      </c>
      <c r="B20" s="1">
        <v>9.4718771935178694</v>
      </c>
      <c r="C20" s="1">
        <v>107.69447920163579</v>
      </c>
    </row>
    <row r="21" spans="1:3">
      <c r="A21">
        <v>20</v>
      </c>
      <c r="B21" s="1">
        <v>13.320871608630634</v>
      </c>
      <c r="C21" s="1">
        <v>100.77211828974274</v>
      </c>
    </row>
    <row r="22" spans="1:3">
      <c r="A22">
        <v>21</v>
      </c>
      <c r="B22" s="1">
        <v>11.045106357005524</v>
      </c>
      <c r="C22" s="1">
        <v>103.57982116153447</v>
      </c>
    </row>
    <row r="23" spans="1:3">
      <c r="A23">
        <v>22</v>
      </c>
      <c r="B23" s="1">
        <v>13.197576830347606</v>
      </c>
      <c r="C23" s="1">
        <v>121.6795861690115</v>
      </c>
    </row>
    <row r="24" spans="1:3">
      <c r="A24">
        <v>23</v>
      </c>
      <c r="B24" s="1">
        <v>6.3446455275124363</v>
      </c>
      <c r="C24" s="1">
        <v>107.38166447950682</v>
      </c>
    </row>
    <row r="25" spans="1:3">
      <c r="A25">
        <v>24</v>
      </c>
      <c r="B25" s="1">
        <v>6.3476973784600359</v>
      </c>
      <c r="C25" s="1">
        <v>109.06704916531876</v>
      </c>
    </row>
    <row r="26" spans="1:3">
      <c r="A26">
        <v>25</v>
      </c>
      <c r="B26" s="1">
        <v>8.2340464491714229</v>
      </c>
      <c r="C26" s="1">
        <v>103.74233222449415</v>
      </c>
    </row>
    <row r="27" spans="1:3">
      <c r="A27">
        <v>26</v>
      </c>
      <c r="B27" s="1">
        <v>11.199224829859311</v>
      </c>
      <c r="C27" s="1">
        <v>104.69222083193456</v>
      </c>
    </row>
    <row r="28" spans="1:3">
      <c r="A28">
        <v>27</v>
      </c>
      <c r="B28" s="1">
        <v>8.4965056306649984</v>
      </c>
      <c r="C28" s="1">
        <v>106.91396832178717</v>
      </c>
    </row>
    <row r="29" spans="1:3">
      <c r="A29">
        <v>28</v>
      </c>
      <c r="B29" s="1">
        <v>6.8301950132755511</v>
      </c>
      <c r="C29" s="1">
        <v>117.54280220954008</v>
      </c>
    </row>
    <row r="30" spans="1:3">
      <c r="A30">
        <v>29</v>
      </c>
      <c r="B30" s="1">
        <v>9.741355632190924</v>
      </c>
      <c r="C30" s="1">
        <v>123.75255592516862</v>
      </c>
    </row>
    <row r="31" spans="1:3">
      <c r="A31">
        <v>30</v>
      </c>
      <c r="B31" s="1">
        <v>6.5036469618823816</v>
      </c>
      <c r="C31" s="1">
        <v>108.40021973326823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topLeftCell="A5" workbookViewId="0">
      <selection activeCell="B2" sqref="B2:B31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8.0571916867580189</v>
      </c>
      <c r="C2" s="1">
        <v>108.19666127506332</v>
      </c>
    </row>
    <row r="3" spans="1:3">
      <c r="A3">
        <v>2</v>
      </c>
      <c r="B3" s="1">
        <v>7.362285225989563</v>
      </c>
      <c r="C3" s="1">
        <v>90.24628437147129</v>
      </c>
    </row>
    <row r="4" spans="1:3">
      <c r="A4">
        <v>3</v>
      </c>
      <c r="B4" s="1">
        <v>5.2328562273018582</v>
      </c>
      <c r="C4" s="1">
        <v>111.11270485549485</v>
      </c>
    </row>
    <row r="5" spans="1:3">
      <c r="A5">
        <v>4</v>
      </c>
      <c r="B5" s="1">
        <v>5.579851680043947</v>
      </c>
      <c r="C5" s="1">
        <v>101.04342783898434</v>
      </c>
    </row>
    <row r="6" spans="1:3">
      <c r="A6">
        <v>5</v>
      </c>
      <c r="B6" s="1">
        <v>6.2138737144077885</v>
      </c>
      <c r="C6" s="1">
        <v>97.928708761864073</v>
      </c>
    </row>
    <row r="7" spans="1:3">
      <c r="A7">
        <v>6</v>
      </c>
      <c r="B7" s="1">
        <v>6.1297952208014159</v>
      </c>
      <c r="C7" s="1">
        <v>119.44975127414777</v>
      </c>
    </row>
    <row r="8" spans="1:3">
      <c r="A8">
        <v>7</v>
      </c>
      <c r="B8" s="1">
        <v>7.8986480300302127</v>
      </c>
      <c r="C8" s="1">
        <v>116.71956541642507</v>
      </c>
    </row>
    <row r="9" spans="1:3">
      <c r="A9">
        <v>8</v>
      </c>
      <c r="B9" s="1">
        <v>9.6322519608142336</v>
      </c>
      <c r="C9" s="1">
        <v>109.32370983001191</v>
      </c>
    </row>
    <row r="10" spans="1:3">
      <c r="A10">
        <v>9</v>
      </c>
      <c r="B10" s="1">
        <v>6.0435804315317245</v>
      </c>
      <c r="C10" s="1">
        <v>103.54930265205847</v>
      </c>
    </row>
    <row r="11" spans="1:3">
      <c r="A11">
        <v>10</v>
      </c>
      <c r="B11" s="1">
        <v>6.2767418439283427</v>
      </c>
      <c r="C11" s="1">
        <v>113.91796624652852</v>
      </c>
    </row>
    <row r="12" spans="1:3">
      <c r="A12">
        <v>11</v>
      </c>
      <c r="B12" s="1">
        <v>6.7622913296914575</v>
      </c>
      <c r="C12" s="1">
        <v>91.183812982573926</v>
      </c>
    </row>
    <row r="13" spans="1:3">
      <c r="A13">
        <v>12</v>
      </c>
      <c r="B13" s="1">
        <v>5.4892117069002353</v>
      </c>
      <c r="C13" s="1">
        <v>96.755882442701505</v>
      </c>
    </row>
    <row r="14" spans="1:3">
      <c r="A14">
        <v>13</v>
      </c>
      <c r="B14" s="1">
        <v>5.0440992461928156</v>
      </c>
      <c r="C14" s="1">
        <v>95.464949491866818</v>
      </c>
    </row>
    <row r="15" spans="1:3">
      <c r="A15">
        <v>14</v>
      </c>
      <c r="B15" s="1">
        <v>7.8122806482131413</v>
      </c>
      <c r="C15" s="1">
        <v>105.4307687612537</v>
      </c>
    </row>
    <row r="16" spans="1:3">
      <c r="A16">
        <v>15</v>
      </c>
      <c r="B16" s="1">
        <v>6.7883846552934353</v>
      </c>
      <c r="C16" s="1">
        <v>95.156407361064481</v>
      </c>
    </row>
    <row r="17" spans="1:3">
      <c r="A17">
        <v>16</v>
      </c>
      <c r="B17" s="1">
        <v>5.7797479171117283</v>
      </c>
      <c r="C17" s="1">
        <v>118.42249824518571</v>
      </c>
    </row>
    <row r="18" spans="1:3">
      <c r="A18">
        <v>17</v>
      </c>
      <c r="B18" s="1">
        <v>5.2633747367778554</v>
      </c>
      <c r="C18" s="1">
        <v>112.35602893154699</v>
      </c>
    </row>
    <row r="19" spans="1:3">
      <c r="A19">
        <v>18</v>
      </c>
      <c r="B19" s="1">
        <v>7.2902615436262099</v>
      </c>
      <c r="C19" s="1">
        <v>101.18625446333201</v>
      </c>
    </row>
    <row r="20" spans="1:3">
      <c r="A20">
        <v>19</v>
      </c>
      <c r="B20" s="1">
        <v>7.7227088229010894</v>
      </c>
      <c r="C20" s="1">
        <v>112.33588671529283</v>
      </c>
    </row>
    <row r="21" spans="1:3">
      <c r="A21">
        <v>20</v>
      </c>
      <c r="B21" s="1">
        <v>5.5459761345255902</v>
      </c>
      <c r="C21" s="1">
        <v>102.35908078249459</v>
      </c>
    </row>
    <row r="22" spans="1:3">
      <c r="A22">
        <v>21</v>
      </c>
      <c r="B22" s="1">
        <v>6.2349314859462268</v>
      </c>
      <c r="C22" s="1">
        <v>117.69829401532029</v>
      </c>
    </row>
    <row r="23" spans="1:3">
      <c r="A23">
        <v>22</v>
      </c>
      <c r="B23" s="1">
        <v>9.6279793694875941</v>
      </c>
      <c r="C23" s="1">
        <v>112.97860652485733</v>
      </c>
    </row>
    <row r="24" spans="1:3">
      <c r="A24">
        <v>23</v>
      </c>
      <c r="B24" s="1">
        <v>6.7590868861964779</v>
      </c>
      <c r="C24" s="1">
        <v>115.67033906064027</v>
      </c>
    </row>
    <row r="25" spans="1:3">
      <c r="A25">
        <v>24</v>
      </c>
      <c r="B25" s="1">
        <v>9.8695333719901122</v>
      </c>
      <c r="C25" s="1">
        <v>119.71617786187323</v>
      </c>
    </row>
    <row r="26" spans="1:3">
      <c r="A26">
        <v>25</v>
      </c>
      <c r="B26" s="1">
        <v>5.2276680806909388</v>
      </c>
      <c r="C26" s="1">
        <v>93.060701315347757</v>
      </c>
    </row>
    <row r="27" spans="1:3">
      <c r="A27">
        <v>26</v>
      </c>
      <c r="B27" s="1">
        <v>7.9824213385418261</v>
      </c>
      <c r="C27" s="1">
        <v>106.05426190984832</v>
      </c>
    </row>
    <row r="28" spans="1:3">
      <c r="A28">
        <v>27</v>
      </c>
      <c r="B28" s="1">
        <v>7.0358897671437726</v>
      </c>
      <c r="C28" s="1">
        <v>104.55458235419782</v>
      </c>
    </row>
    <row r="29" spans="1:3">
      <c r="A29">
        <v>28</v>
      </c>
      <c r="B29" s="1">
        <v>9.0046388134403514</v>
      </c>
      <c r="C29" s="1">
        <v>111.91106906338695</v>
      </c>
    </row>
    <row r="30" spans="1:3">
      <c r="A30">
        <v>29</v>
      </c>
      <c r="B30" s="1">
        <v>9.9659718619342641</v>
      </c>
      <c r="C30" s="1">
        <v>110.37476729636525</v>
      </c>
    </row>
    <row r="31" spans="1:3">
      <c r="A31">
        <v>30</v>
      </c>
      <c r="B31" s="1">
        <v>6.2144840845973084</v>
      </c>
      <c r="C31" s="1">
        <v>101.06540116580706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9"/>
  <sheetViews>
    <sheetView tabSelected="1" topLeftCell="A43" zoomScale="161" workbookViewId="0">
      <selection activeCell="C59" sqref="C59"/>
    </sheetView>
  </sheetViews>
  <sheetFormatPr baseColWidth="10" defaultColWidth="8.83203125" defaultRowHeight="15"/>
  <cols>
    <col min="2" max="2" width="13" customWidth="1"/>
    <col min="5" max="5" width="11.6640625" bestFit="1" customWidth="1"/>
    <col min="7" max="7" width="10.6640625" bestFit="1" customWidth="1"/>
  </cols>
  <sheetData>
    <row r="1" spans="1:20">
      <c r="A1" s="10" t="s">
        <v>0</v>
      </c>
      <c r="B1" s="10" t="s">
        <v>1</v>
      </c>
      <c r="C1" s="11" t="s">
        <v>2</v>
      </c>
      <c r="E1" s="10" t="s">
        <v>0</v>
      </c>
      <c r="F1" s="10" t="s">
        <v>2</v>
      </c>
      <c r="G1" s="11" t="s">
        <v>3</v>
      </c>
      <c r="P1" s="10" t="s">
        <v>0</v>
      </c>
      <c r="Q1" s="10" t="s">
        <v>1</v>
      </c>
      <c r="R1" s="11" t="s">
        <v>3</v>
      </c>
    </row>
    <row r="2" spans="1:20">
      <c r="A2" s="2">
        <v>1</v>
      </c>
      <c r="B2" s="3">
        <v>7.4513382366405221</v>
      </c>
      <c r="C2" s="3">
        <v>98.743247779778443</v>
      </c>
      <c r="E2" s="2">
        <v>1</v>
      </c>
      <c r="F2" s="3">
        <v>80.224616229743333</v>
      </c>
      <c r="G2" s="2">
        <f>COUNTIF(F$2:F$31,F2)</f>
        <v>1</v>
      </c>
      <c r="P2" s="2">
        <v>1</v>
      </c>
      <c r="Q2" s="3">
        <v>2.5476241340372936</v>
      </c>
      <c r="R2" s="2">
        <f>COUNTIF(Q$2:Q$31,Q2)</f>
        <v>1</v>
      </c>
      <c r="S2" s="13" t="s">
        <v>4</v>
      </c>
      <c r="T2" s="1">
        <f>MIN(Q2:Q31)</f>
        <v>2.5476241340372936</v>
      </c>
    </row>
    <row r="3" spans="1:20">
      <c r="A3" s="2">
        <v>2</v>
      </c>
      <c r="B3" s="3">
        <v>7.0011291848506119</v>
      </c>
      <c r="C3" s="3">
        <v>99.059419537949765</v>
      </c>
      <c r="E3" s="2">
        <v>2</v>
      </c>
      <c r="F3" s="3">
        <v>80.932645649586476</v>
      </c>
      <c r="G3" s="2">
        <f t="shared" ref="G3:G31" si="0">COUNTIF(F$2:F$31,F3)</f>
        <v>1</v>
      </c>
      <c r="P3" s="2">
        <v>2</v>
      </c>
      <c r="Q3" s="3">
        <v>2.8867458113345745</v>
      </c>
      <c r="R3" s="2">
        <f t="shared" ref="R3:R31" si="1">COUNTIF(Q$2:Q$31,Q3)</f>
        <v>1</v>
      </c>
      <c r="S3" s="13" t="s">
        <v>5</v>
      </c>
      <c r="T3" s="1">
        <f>MAX(Q2:Q31)</f>
        <v>9.2753685110019219</v>
      </c>
    </row>
    <row r="4" spans="1:20">
      <c r="A4" s="2">
        <v>3</v>
      </c>
      <c r="B4" s="3">
        <v>8.9872737815485095</v>
      </c>
      <c r="C4" s="3">
        <v>112.14453566087832</v>
      </c>
      <c r="E4" s="2">
        <v>3</v>
      </c>
      <c r="F4" s="3">
        <v>80.953398236030154</v>
      </c>
      <c r="G4" s="2">
        <f t="shared" si="0"/>
        <v>1</v>
      </c>
      <c r="P4" s="2">
        <v>3</v>
      </c>
      <c r="Q4" s="3">
        <v>3.1033051545762502</v>
      </c>
      <c r="R4" s="2">
        <f t="shared" si="1"/>
        <v>1</v>
      </c>
    </row>
    <row r="5" spans="1:20">
      <c r="A5" s="2">
        <v>4</v>
      </c>
      <c r="B5" s="3">
        <v>3.3052156132694481</v>
      </c>
      <c r="C5" s="3">
        <v>102.02215643787957</v>
      </c>
      <c r="E5" s="2">
        <v>4</v>
      </c>
      <c r="F5" s="3">
        <v>81.895809808648949</v>
      </c>
      <c r="G5" s="2">
        <f t="shared" si="0"/>
        <v>1</v>
      </c>
      <c r="P5" s="2">
        <v>4</v>
      </c>
      <c r="Q5" s="3">
        <v>3.3052156132694481</v>
      </c>
      <c r="R5" s="2">
        <f t="shared" si="1"/>
        <v>1</v>
      </c>
    </row>
    <row r="6" spans="1:20">
      <c r="A6" s="2">
        <v>5</v>
      </c>
      <c r="B6" s="3">
        <v>8.9714041566209914</v>
      </c>
      <c r="C6" s="3">
        <v>91.306497390667445</v>
      </c>
      <c r="E6" s="2">
        <v>5</v>
      </c>
      <c r="F6" s="3">
        <v>84.924466689046909</v>
      </c>
      <c r="G6" s="2">
        <f t="shared" si="0"/>
        <v>1</v>
      </c>
      <c r="P6" s="2">
        <v>5</v>
      </c>
      <c r="Q6" s="3">
        <v>3.7817926572466201</v>
      </c>
      <c r="R6" s="2">
        <f t="shared" si="1"/>
        <v>1</v>
      </c>
    </row>
    <row r="7" spans="1:20">
      <c r="A7" s="2">
        <v>6</v>
      </c>
      <c r="B7" s="3">
        <v>5.7650074770348212</v>
      </c>
      <c r="C7" s="3">
        <v>87.770012512588892</v>
      </c>
      <c r="E7" s="2">
        <v>6</v>
      </c>
      <c r="F7" s="3">
        <v>85.73625904110844</v>
      </c>
      <c r="G7" s="2">
        <f t="shared" si="0"/>
        <v>1</v>
      </c>
      <c r="P7" s="2">
        <v>6</v>
      </c>
      <c r="Q7" s="3">
        <v>3.8079165013580738</v>
      </c>
      <c r="R7" s="2">
        <f t="shared" si="1"/>
        <v>1</v>
      </c>
    </row>
    <row r="8" spans="1:20">
      <c r="A8" s="2">
        <v>7</v>
      </c>
      <c r="B8" s="3">
        <v>7.0506912442396317</v>
      </c>
      <c r="C8" s="3">
        <v>102.20038453321939</v>
      </c>
      <c r="E8" s="2">
        <v>7</v>
      </c>
      <c r="F8" s="3">
        <v>87.770012512588892</v>
      </c>
      <c r="G8" s="2">
        <f t="shared" si="0"/>
        <v>1</v>
      </c>
      <c r="P8" s="2">
        <v>7</v>
      </c>
      <c r="Q8" s="3">
        <v>3.8369701223792232</v>
      </c>
      <c r="R8" s="2">
        <f t="shared" si="1"/>
        <v>1</v>
      </c>
    </row>
    <row r="9" spans="1:20">
      <c r="A9" s="2">
        <v>8</v>
      </c>
      <c r="B9" s="3">
        <v>5.064546647541734</v>
      </c>
      <c r="C9" s="3">
        <v>97.113559373760182</v>
      </c>
      <c r="E9" s="2">
        <v>8</v>
      </c>
      <c r="F9" s="3">
        <v>88.414563432721948</v>
      </c>
      <c r="G9" s="2">
        <f t="shared" si="0"/>
        <v>1</v>
      </c>
      <c r="P9" s="2">
        <v>8</v>
      </c>
      <c r="Q9" s="3">
        <v>4.1655934324167614</v>
      </c>
      <c r="R9" s="2">
        <f t="shared" si="1"/>
        <v>1</v>
      </c>
    </row>
    <row r="10" spans="1:20">
      <c r="A10" s="2">
        <v>9</v>
      </c>
      <c r="B10" s="3">
        <v>6.7965330973235263</v>
      </c>
      <c r="C10" s="3">
        <v>108.76308481093784</v>
      </c>
      <c r="E10" s="2">
        <v>9</v>
      </c>
      <c r="F10" s="3">
        <v>90.216376232184814</v>
      </c>
      <c r="G10" s="2">
        <f t="shared" si="0"/>
        <v>1</v>
      </c>
      <c r="P10" s="2">
        <v>9</v>
      </c>
      <c r="Q10" s="3">
        <v>4.3770256660664693</v>
      </c>
      <c r="R10" s="2">
        <f t="shared" si="1"/>
        <v>1</v>
      </c>
    </row>
    <row r="11" spans="1:20">
      <c r="A11" s="2">
        <v>10</v>
      </c>
      <c r="B11" s="3">
        <v>6.1199987792596211</v>
      </c>
      <c r="C11" s="3">
        <v>91.656849879451883</v>
      </c>
      <c r="E11" s="2">
        <v>10</v>
      </c>
      <c r="F11" s="3">
        <v>91.306497390667445</v>
      </c>
      <c r="G11" s="2">
        <f t="shared" si="0"/>
        <v>1</v>
      </c>
      <c r="P11" s="2">
        <v>10</v>
      </c>
      <c r="Q11" s="3">
        <v>5.064546647541734</v>
      </c>
      <c r="R11" s="2">
        <f t="shared" si="1"/>
        <v>1</v>
      </c>
    </row>
    <row r="12" spans="1:20">
      <c r="A12" s="2">
        <v>11</v>
      </c>
      <c r="B12" s="3">
        <v>7.0724204229865411</v>
      </c>
      <c r="C12" s="3">
        <v>88.414563432721948</v>
      </c>
      <c r="E12" s="2">
        <v>11</v>
      </c>
      <c r="F12" s="3">
        <v>91.656849879451883</v>
      </c>
      <c r="G12" s="2">
        <f t="shared" si="0"/>
        <v>1</v>
      </c>
      <c r="P12" s="2">
        <v>11</v>
      </c>
      <c r="Q12" s="3">
        <v>5.7650074770348212</v>
      </c>
      <c r="R12" s="2">
        <f t="shared" si="1"/>
        <v>1</v>
      </c>
    </row>
    <row r="13" spans="1:20">
      <c r="A13" s="2">
        <v>12</v>
      </c>
      <c r="B13" s="3">
        <v>6.0045167394024475</v>
      </c>
      <c r="C13" s="3">
        <v>84.924466689046909</v>
      </c>
      <c r="E13" s="2">
        <v>12</v>
      </c>
      <c r="F13" s="3">
        <v>91.745963927121807</v>
      </c>
      <c r="G13" s="2">
        <f t="shared" si="0"/>
        <v>1</v>
      </c>
      <c r="P13" s="2">
        <v>12</v>
      </c>
      <c r="Q13" s="3">
        <v>6.0045167394024475</v>
      </c>
      <c r="R13" s="2">
        <f t="shared" si="1"/>
        <v>1</v>
      </c>
    </row>
    <row r="14" spans="1:20">
      <c r="A14" s="2">
        <v>13</v>
      </c>
      <c r="B14" s="3">
        <v>4.1655934324167614</v>
      </c>
      <c r="C14" s="3">
        <v>85.73625904110844</v>
      </c>
      <c r="E14" s="2">
        <v>13</v>
      </c>
      <c r="F14" s="3">
        <v>91.819208349864198</v>
      </c>
      <c r="G14" s="2">
        <f t="shared" si="0"/>
        <v>1</v>
      </c>
      <c r="P14" s="2">
        <v>13</v>
      </c>
      <c r="Q14" s="3">
        <v>6.1199987792596211</v>
      </c>
      <c r="R14" s="2">
        <f t="shared" si="1"/>
        <v>1</v>
      </c>
    </row>
    <row r="15" spans="1:20">
      <c r="A15" s="2">
        <v>14</v>
      </c>
      <c r="B15" s="3">
        <v>3.8369701223792232</v>
      </c>
      <c r="C15" s="3">
        <v>80.224616229743333</v>
      </c>
      <c r="E15" s="2">
        <v>14</v>
      </c>
      <c r="F15" s="3">
        <v>97.113559373760182</v>
      </c>
      <c r="G15" s="2">
        <f t="shared" si="0"/>
        <v>1</v>
      </c>
      <c r="P15" s="2">
        <v>14</v>
      </c>
      <c r="Q15" s="3">
        <v>6.2027649769585249</v>
      </c>
      <c r="R15" s="2">
        <f t="shared" si="1"/>
        <v>1</v>
      </c>
    </row>
    <row r="16" spans="1:20">
      <c r="A16" s="2">
        <v>15</v>
      </c>
      <c r="B16" s="3">
        <v>9.2753685110019219</v>
      </c>
      <c r="C16" s="3">
        <v>102.13446455275124</v>
      </c>
      <c r="E16" s="2">
        <v>15</v>
      </c>
      <c r="F16" s="3">
        <v>97.615283669545576</v>
      </c>
      <c r="G16" s="2">
        <f t="shared" si="0"/>
        <v>1</v>
      </c>
      <c r="P16" s="2">
        <v>15</v>
      </c>
      <c r="Q16" s="3">
        <v>6.7188940092165899</v>
      </c>
      <c r="R16" s="2">
        <f t="shared" si="1"/>
        <v>1</v>
      </c>
    </row>
    <row r="17" spans="1:18">
      <c r="A17" s="2">
        <v>16</v>
      </c>
      <c r="B17" s="3">
        <v>6.8502456740012816</v>
      </c>
      <c r="C17" s="3">
        <v>91.819208349864198</v>
      </c>
      <c r="E17" s="2">
        <v>16</v>
      </c>
      <c r="F17" s="3">
        <v>98.743247779778443</v>
      </c>
      <c r="G17" s="2">
        <f t="shared" si="0"/>
        <v>1</v>
      </c>
      <c r="P17" s="2">
        <v>16</v>
      </c>
      <c r="Q17" s="3">
        <v>6.7965330973235263</v>
      </c>
      <c r="R17" s="2">
        <f t="shared" si="1"/>
        <v>1</v>
      </c>
    </row>
    <row r="18" spans="1:18">
      <c r="A18" s="2">
        <v>17</v>
      </c>
      <c r="B18" s="3">
        <v>6.7188940092165899</v>
      </c>
      <c r="C18" s="3">
        <v>81.895809808648949</v>
      </c>
      <c r="E18" s="2">
        <v>17</v>
      </c>
      <c r="F18" s="3">
        <v>99.059419537949765</v>
      </c>
      <c r="G18" s="2">
        <f t="shared" si="0"/>
        <v>1</v>
      </c>
      <c r="P18" s="2">
        <v>17</v>
      </c>
      <c r="Q18" s="3">
        <v>6.8370616779076512</v>
      </c>
      <c r="R18" s="2">
        <f t="shared" si="1"/>
        <v>1</v>
      </c>
    </row>
    <row r="19" spans="1:18">
      <c r="A19" s="2">
        <v>18</v>
      </c>
      <c r="B19" s="3">
        <v>2.5476241340372936</v>
      </c>
      <c r="C19" s="3">
        <v>118.16034424878688</v>
      </c>
      <c r="E19" s="2">
        <v>18</v>
      </c>
      <c r="F19" s="3">
        <v>101.85613574633015</v>
      </c>
      <c r="G19" s="2">
        <f t="shared" si="0"/>
        <v>1</v>
      </c>
      <c r="P19" s="2">
        <v>18</v>
      </c>
      <c r="Q19" s="3">
        <v>6.8502456740012816</v>
      </c>
      <c r="R19" s="2">
        <f t="shared" si="1"/>
        <v>1</v>
      </c>
    </row>
    <row r="20" spans="1:18">
      <c r="A20" s="2">
        <v>19</v>
      </c>
      <c r="B20" s="3">
        <v>9.1113010040589621</v>
      </c>
      <c r="C20" s="3">
        <v>118.23236793115024</v>
      </c>
      <c r="E20" s="2">
        <v>19</v>
      </c>
      <c r="F20" s="3">
        <v>102.02215643787957</v>
      </c>
      <c r="G20" s="2">
        <f t="shared" si="0"/>
        <v>1</v>
      </c>
      <c r="P20" s="2">
        <v>19</v>
      </c>
      <c r="Q20" s="3">
        <v>6.9615771965697197</v>
      </c>
      <c r="R20" s="2">
        <f t="shared" si="1"/>
        <v>1</v>
      </c>
    </row>
    <row r="21" spans="1:18">
      <c r="A21" s="2">
        <v>20</v>
      </c>
      <c r="B21" s="3">
        <v>6.2027649769585249</v>
      </c>
      <c r="C21" s="3">
        <v>106.41071810052797</v>
      </c>
      <c r="E21" s="2">
        <v>20</v>
      </c>
      <c r="F21" s="3">
        <v>102.11004974517044</v>
      </c>
      <c r="G21" s="2">
        <f t="shared" si="0"/>
        <v>1</v>
      </c>
      <c r="P21" s="2">
        <v>20</v>
      </c>
      <c r="Q21" s="3">
        <v>7.0011291848506119</v>
      </c>
      <c r="R21" s="2">
        <f t="shared" si="1"/>
        <v>1</v>
      </c>
    </row>
    <row r="22" spans="1:18">
      <c r="A22" s="2">
        <v>21</v>
      </c>
      <c r="B22" s="3">
        <v>3.7817926572466201</v>
      </c>
      <c r="C22" s="3">
        <v>91.745963927121807</v>
      </c>
      <c r="E22" s="2">
        <v>21</v>
      </c>
      <c r="F22" s="3">
        <v>102.13446455275124</v>
      </c>
      <c r="G22" s="2">
        <f t="shared" si="0"/>
        <v>1</v>
      </c>
      <c r="P22" s="2">
        <v>21</v>
      </c>
      <c r="Q22" s="3">
        <v>7.0506912442396317</v>
      </c>
      <c r="R22" s="2">
        <f t="shared" si="1"/>
        <v>1</v>
      </c>
    </row>
    <row r="23" spans="1:18">
      <c r="A23" s="2">
        <v>22</v>
      </c>
      <c r="B23" s="3">
        <v>2.8867458113345745</v>
      </c>
      <c r="C23" s="3">
        <v>80.953398236030154</v>
      </c>
      <c r="E23" s="2">
        <v>22</v>
      </c>
      <c r="F23" s="3">
        <v>102.20038453321939</v>
      </c>
      <c r="G23" s="2">
        <f t="shared" si="0"/>
        <v>1</v>
      </c>
      <c r="P23" s="2">
        <v>22</v>
      </c>
      <c r="Q23" s="3">
        <v>7.0724204229865411</v>
      </c>
      <c r="R23" s="2">
        <f t="shared" si="1"/>
        <v>1</v>
      </c>
    </row>
    <row r="24" spans="1:18">
      <c r="A24" s="2">
        <v>23</v>
      </c>
      <c r="B24" s="3">
        <v>6.8370616779076512</v>
      </c>
      <c r="C24" s="3">
        <v>113.21146275215918</v>
      </c>
      <c r="E24" s="2">
        <v>23</v>
      </c>
      <c r="F24" s="3">
        <v>106.41071810052797</v>
      </c>
      <c r="G24" s="2">
        <f t="shared" si="0"/>
        <v>1</v>
      </c>
      <c r="P24" s="2">
        <v>23</v>
      </c>
      <c r="Q24" s="3">
        <v>7.4513382366405221</v>
      </c>
      <c r="R24" s="2">
        <f t="shared" si="1"/>
        <v>1</v>
      </c>
    </row>
    <row r="25" spans="1:18">
      <c r="A25" s="2">
        <v>24</v>
      </c>
      <c r="B25" s="3">
        <v>8.8127079073458052</v>
      </c>
      <c r="C25" s="3">
        <v>90.216376232184814</v>
      </c>
      <c r="E25" s="2">
        <v>24</v>
      </c>
      <c r="F25" s="3">
        <v>108.76308481093784</v>
      </c>
      <c r="G25" s="2">
        <f t="shared" si="0"/>
        <v>1</v>
      </c>
      <c r="P25" s="2">
        <v>24</v>
      </c>
      <c r="Q25" s="3">
        <v>8.3988769188512826</v>
      </c>
      <c r="R25" s="2">
        <f t="shared" si="1"/>
        <v>1</v>
      </c>
    </row>
    <row r="26" spans="1:18">
      <c r="A26" s="2">
        <v>25</v>
      </c>
      <c r="B26" s="3">
        <v>8.5446333201086446</v>
      </c>
      <c r="C26" s="3">
        <v>97.615283669545576</v>
      </c>
      <c r="E26" s="2">
        <v>25</v>
      </c>
      <c r="F26" s="3">
        <v>112.14453566087832</v>
      </c>
      <c r="G26" s="2">
        <f t="shared" si="0"/>
        <v>1</v>
      </c>
      <c r="P26" s="2">
        <v>25</v>
      </c>
      <c r="Q26" s="3">
        <v>8.5446333201086446</v>
      </c>
      <c r="R26" s="2">
        <f t="shared" si="1"/>
        <v>1</v>
      </c>
    </row>
    <row r="27" spans="1:18">
      <c r="A27" s="2">
        <v>26</v>
      </c>
      <c r="B27" s="3">
        <v>6.9615771965697197</v>
      </c>
      <c r="C27" s="3">
        <v>80.932645649586476</v>
      </c>
      <c r="E27" s="2">
        <v>26</v>
      </c>
      <c r="F27" s="3">
        <v>112.14819788201544</v>
      </c>
      <c r="G27" s="2">
        <f t="shared" si="0"/>
        <v>1</v>
      </c>
      <c r="P27" s="2">
        <v>26</v>
      </c>
      <c r="Q27" s="3">
        <v>8.8127079073458052</v>
      </c>
      <c r="R27" s="2">
        <f t="shared" si="1"/>
        <v>1</v>
      </c>
    </row>
    <row r="28" spans="1:18">
      <c r="A28" s="2">
        <v>27</v>
      </c>
      <c r="B28" s="3">
        <v>3.1033051545762502</v>
      </c>
      <c r="C28" s="3">
        <v>112.14819788201544</v>
      </c>
      <c r="E28" s="2">
        <v>27</v>
      </c>
      <c r="F28" s="3">
        <v>113.21146275215918</v>
      </c>
      <c r="G28" s="2">
        <f t="shared" si="0"/>
        <v>1</v>
      </c>
      <c r="P28" s="2">
        <v>27</v>
      </c>
      <c r="Q28" s="3">
        <v>8.9714041566209914</v>
      </c>
      <c r="R28" s="2">
        <f t="shared" si="1"/>
        <v>1</v>
      </c>
    </row>
    <row r="29" spans="1:18">
      <c r="A29" s="2">
        <v>28</v>
      </c>
      <c r="B29" s="3">
        <v>3.8079165013580738</v>
      </c>
      <c r="C29" s="3">
        <v>101.85613574633015</v>
      </c>
      <c r="E29" s="2">
        <v>28</v>
      </c>
      <c r="F29" s="3">
        <v>114.91439558091983</v>
      </c>
      <c r="G29" s="2">
        <f t="shared" si="0"/>
        <v>1</v>
      </c>
      <c r="P29" s="2">
        <v>28</v>
      </c>
      <c r="Q29" s="3">
        <v>8.9872737815485095</v>
      </c>
      <c r="R29" s="2">
        <f t="shared" si="1"/>
        <v>1</v>
      </c>
    </row>
    <row r="30" spans="1:18">
      <c r="A30" s="2">
        <v>29</v>
      </c>
      <c r="B30" s="3">
        <v>4.3770256660664693</v>
      </c>
      <c r="C30" s="3">
        <v>102.11004974517044</v>
      </c>
      <c r="E30" s="2">
        <v>29</v>
      </c>
      <c r="F30" s="3">
        <v>118.16034424878688</v>
      </c>
      <c r="G30" s="2">
        <f t="shared" si="0"/>
        <v>1</v>
      </c>
      <c r="P30" s="2">
        <v>29</v>
      </c>
      <c r="Q30" s="3">
        <v>9.1113010040589621</v>
      </c>
      <c r="R30" s="2">
        <f t="shared" si="1"/>
        <v>1</v>
      </c>
    </row>
    <row r="31" spans="1:18">
      <c r="A31" s="2">
        <v>30</v>
      </c>
      <c r="B31" s="3">
        <v>8.3988769188512826</v>
      </c>
      <c r="C31" s="3">
        <v>114.91439558091983</v>
      </c>
      <c r="E31" s="2">
        <v>30</v>
      </c>
      <c r="F31" s="3">
        <v>118.23236793115024</v>
      </c>
      <c r="G31" s="2">
        <f t="shared" si="0"/>
        <v>1</v>
      </c>
      <c r="P31" s="2">
        <v>30</v>
      </c>
      <c r="Q31" s="3">
        <v>9.2753685110019219</v>
      </c>
      <c r="R31" s="2">
        <f>COUNTIF(Q$2:Q$31,Q31)</f>
        <v>1</v>
      </c>
    </row>
    <row r="33" spans="1:8" ht="20">
      <c r="A33" s="19" t="s">
        <v>8</v>
      </c>
      <c r="B33" s="19"/>
      <c r="C33" s="19"/>
      <c r="D33" s="19"/>
      <c r="E33" s="14" t="s">
        <v>9</v>
      </c>
      <c r="F33" s="15">
        <f>1+3.3222*LOG10(E31)</f>
        <v>5.9072922324296622</v>
      </c>
      <c r="G33" s="16" t="s">
        <v>6</v>
      </c>
      <c r="H33" s="15">
        <v>5</v>
      </c>
    </row>
    <row r="34" spans="1:8" ht="20">
      <c r="A34" s="19" t="s">
        <v>7</v>
      </c>
      <c r="B34" s="19"/>
      <c r="C34" s="19"/>
      <c r="D34" s="19"/>
      <c r="E34" s="17" t="s">
        <v>10</v>
      </c>
      <c r="F34" s="15">
        <f>(T3-T2)/H33</f>
        <v>1.3455488753929257</v>
      </c>
      <c r="G34" s="16" t="s">
        <v>6</v>
      </c>
      <c r="H34" s="15"/>
    </row>
    <row r="36" spans="1:8" ht="60" customHeight="1">
      <c r="A36" s="8" t="s">
        <v>11</v>
      </c>
      <c r="B36" s="9" t="s">
        <v>14</v>
      </c>
      <c r="C36" s="9" t="s">
        <v>15</v>
      </c>
      <c r="D36" s="9" t="s">
        <v>16</v>
      </c>
      <c r="E36" s="9" t="s">
        <v>17</v>
      </c>
    </row>
    <row r="37" spans="1:8" ht="21" customHeight="1">
      <c r="A37" s="5">
        <v>1</v>
      </c>
      <c r="B37" s="4" t="s">
        <v>18</v>
      </c>
      <c r="C37" s="5">
        <v>3.2229999999999999</v>
      </c>
      <c r="D37" s="5">
        <v>7</v>
      </c>
      <c r="E37" s="5">
        <v>7</v>
      </c>
    </row>
    <row r="38" spans="1:8" ht="18" customHeight="1">
      <c r="A38" s="5">
        <v>2</v>
      </c>
      <c r="B38" s="6" t="s">
        <v>19</v>
      </c>
      <c r="C38" s="5">
        <v>4.66</v>
      </c>
      <c r="D38" s="5">
        <v>3</v>
      </c>
      <c r="E38" s="5">
        <v>10</v>
      </c>
    </row>
    <row r="39" spans="1:8">
      <c r="A39" s="5">
        <v>3</v>
      </c>
      <c r="B39" s="6" t="s">
        <v>29</v>
      </c>
      <c r="C39" s="5">
        <v>6.0060000000000002</v>
      </c>
      <c r="D39" s="5">
        <v>8</v>
      </c>
      <c r="E39" s="5">
        <v>18</v>
      </c>
    </row>
    <row r="40" spans="1:8">
      <c r="A40" s="5">
        <v>4</v>
      </c>
      <c r="B40" s="6" t="s">
        <v>20</v>
      </c>
      <c r="C40" s="5">
        <v>7.2610000000000001</v>
      </c>
      <c r="D40" s="5">
        <v>5</v>
      </c>
      <c r="E40" s="5">
        <v>23</v>
      </c>
    </row>
    <row r="41" spans="1:8">
      <c r="A41" s="5">
        <v>5</v>
      </c>
      <c r="B41" s="6" t="s">
        <v>21</v>
      </c>
      <c r="C41" s="5">
        <v>8.6069999999999993</v>
      </c>
      <c r="D41" s="5">
        <v>7</v>
      </c>
      <c r="E41" s="5">
        <v>30</v>
      </c>
    </row>
    <row r="42" spans="1:8">
      <c r="A42" s="5" t="s">
        <v>12</v>
      </c>
      <c r="B42" s="5" t="s">
        <v>13</v>
      </c>
      <c r="C42" s="5" t="s">
        <v>13</v>
      </c>
      <c r="D42" s="5">
        <v>30</v>
      </c>
      <c r="E42" s="5" t="s">
        <v>13</v>
      </c>
    </row>
    <row r="46" spans="1:8" ht="21" customHeight="1">
      <c r="A46" s="7" t="s">
        <v>22</v>
      </c>
      <c r="B46" s="7"/>
      <c r="C46" s="7"/>
      <c r="D46" s="7"/>
      <c r="E46" s="7"/>
      <c r="F46" s="7"/>
      <c r="G46" s="7"/>
      <c r="H46" s="7"/>
    </row>
    <row r="47" spans="1:8" ht="18">
      <c r="A47" s="7" t="s">
        <v>23</v>
      </c>
      <c r="B47" s="7"/>
      <c r="C47" s="7"/>
      <c r="D47" s="7"/>
      <c r="E47" s="7"/>
      <c r="F47" s="7"/>
      <c r="G47" s="7"/>
      <c r="H47" s="7"/>
    </row>
    <row r="48" spans="1:8">
      <c r="A48" s="22" t="s">
        <v>30</v>
      </c>
      <c r="B48" s="22"/>
    </row>
    <row r="49" spans="1:7" ht="18">
      <c r="A49" s="12" t="s">
        <v>24</v>
      </c>
      <c r="B49" s="12"/>
      <c r="C49" s="12"/>
      <c r="D49" s="12"/>
      <c r="E49" s="18">
        <f>AVERAGE(C2:C31)</f>
        <v>97.814549190750867</v>
      </c>
    </row>
    <row r="50" spans="1:7" ht="18" customHeight="1">
      <c r="A50" s="21" t="s">
        <v>26</v>
      </c>
      <c r="B50" s="21"/>
      <c r="C50" s="21"/>
      <c r="D50" s="21"/>
      <c r="E50" s="21"/>
      <c r="F50" s="21"/>
    </row>
    <row r="51" spans="1:7" ht="16" customHeight="1">
      <c r="A51" s="21"/>
      <c r="B51" s="21"/>
      <c r="C51" s="21"/>
      <c r="D51" s="21"/>
      <c r="E51" s="21"/>
      <c r="F51" s="21"/>
    </row>
    <row r="52" spans="1:7" ht="21" customHeight="1">
      <c r="A52" s="23" t="s">
        <v>31</v>
      </c>
      <c r="B52" s="13" t="s">
        <v>32</v>
      </c>
      <c r="C52" s="18">
        <f>MEDIAN(C2:C31)</f>
        <v>98.179265724662002</v>
      </c>
    </row>
    <row r="53" spans="1:7" ht="26" customHeight="1"/>
    <row r="55" spans="1:7" ht="15" customHeight="1"/>
    <row r="56" spans="1:7" ht="16" customHeight="1">
      <c r="A56" s="24" t="s">
        <v>33</v>
      </c>
      <c r="B56" s="24"/>
      <c r="C56" s="24"/>
    </row>
    <row r="57" spans="1:7" ht="18">
      <c r="A57" s="12" t="s">
        <v>25</v>
      </c>
      <c r="B57" s="12"/>
      <c r="C57" s="12"/>
      <c r="D57" s="12"/>
      <c r="E57" s="20">
        <f>AVERAGE(B2:B31)</f>
        <v>6.1936826685384689</v>
      </c>
    </row>
    <row r="58" spans="1:7" ht="18" customHeight="1">
      <c r="A58" s="19" t="s">
        <v>27</v>
      </c>
      <c r="B58" s="19"/>
      <c r="C58" s="19"/>
      <c r="D58" s="19"/>
      <c r="E58" s="19"/>
      <c r="F58" s="13" t="s">
        <v>28</v>
      </c>
      <c r="G58" s="20">
        <f>5.242+F34*((D39-D38)/((D39-D38)+(D39-D40)))</f>
        <v>6.0829680471205787</v>
      </c>
    </row>
    <row r="59" spans="1:7">
      <c r="A59" s="23" t="s">
        <v>31</v>
      </c>
      <c r="B59" s="13" t="s">
        <v>32</v>
      </c>
      <c r="C59" s="20">
        <f>5.242+F34*((15-10)/(8))</f>
        <v>6.0829680471205787</v>
      </c>
    </row>
  </sheetData>
  <sortState xmlns:xlrd2="http://schemas.microsoft.com/office/spreadsheetml/2017/richdata2" ref="Q2:Q31">
    <sortCondition ref="Q2:Q31"/>
  </sortState>
  <mergeCells count="10">
    <mergeCell ref="A48:B48"/>
    <mergeCell ref="A56:C56"/>
    <mergeCell ref="A58:E58"/>
    <mergeCell ref="A57:D57"/>
    <mergeCell ref="A50:F51"/>
    <mergeCell ref="A49:D49"/>
    <mergeCell ref="A33:D33"/>
    <mergeCell ref="A34:D34"/>
    <mergeCell ref="A46:H46"/>
    <mergeCell ref="A47:H47"/>
  </mergeCells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Вариант10</vt:lpstr>
      <vt:lpstr>Вариант9</vt:lpstr>
      <vt:lpstr>Вариант8</vt:lpstr>
      <vt:lpstr>Вариант7</vt:lpstr>
      <vt:lpstr>Вариант 6</vt:lpstr>
      <vt:lpstr>Вариант 5</vt:lpstr>
      <vt:lpstr>Вариант 4</vt:lpstr>
      <vt:lpstr>Вариант 3</vt:lpstr>
      <vt:lpstr>Вариант 2</vt:lpstr>
      <vt:lpstr>Вариант 1</vt:lpstr>
      <vt:lpstr>'Вариант 1'!_Toc104504715</vt:lpstr>
      <vt:lpstr>'Вариант 1'!_Toc104504716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Кузнецова Елена</dc:creator>
  <cp:lastModifiedBy>Данил</cp:lastModifiedBy>
  <cp:revision>1</cp:revision>
  <dcterms:created xsi:type="dcterms:W3CDTF">2015-06-05T18:19:34Z</dcterms:created>
  <dcterms:modified xsi:type="dcterms:W3CDTF">2025-05-14T10:47:01Z</dcterms:modified>
</cp:coreProperties>
</file>