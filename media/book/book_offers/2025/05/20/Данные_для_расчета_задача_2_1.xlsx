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danil/Downloads/"/>
    </mc:Choice>
  </mc:AlternateContent>
  <xr:revisionPtr revIDLastSave="0" documentId="13_ncr:1_{C4F13215-B0C1-404B-B9B7-D153B9863175}" xr6:coauthVersionLast="47" xr6:coauthVersionMax="47" xr10:uidLastSave="{00000000-0000-0000-0000-000000000000}"/>
  <bookViews>
    <workbookView xWindow="-120" yWindow="500" windowWidth="29040" windowHeight="15840" firstSheet="2" activeTab="2" xr2:uid="{00000000-000D-0000-FFFF-FFFF00000000}"/>
  </bookViews>
  <sheets>
    <sheet name="Гистограмма" sheetId="17" r:id="rId1"/>
    <sheet name="Лист4" sheetId="18" r:id="rId2"/>
    <sheet name="Вариант 4" sheetId="6" r:id="rId3"/>
    <sheet name="Лист2" sheetId="20" r:id="rId4"/>
    <sheet name="Лист1" sheetId="19" r:id="rId5"/>
  </sheets>
  <definedNames>
    <definedName name="_xlnm._FilterDatabase" localSheetId="2" hidden="1">'Вариант 4'!$L$10:$N$17</definedName>
    <definedName name="_xlnm._FilterDatabase" localSheetId="0" hidden="1">Гистограмма!$A$1:$F$8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6" l="1"/>
  <c r="M36" i="6" l="1"/>
  <c r="N35" i="6"/>
  <c r="B21" i="20" l="1"/>
  <c r="B40" i="19" l="1"/>
  <c r="B41" i="19" s="1"/>
  <c r="B38" i="19"/>
  <c r="B39" i="19" l="1"/>
  <c r="F5" i="19" l="1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4" i="19"/>
  <c r="B42" i="19" s="1"/>
  <c r="C34" i="19"/>
  <c r="E5" i="19"/>
  <c r="E34" i="19" s="1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4" i="19"/>
  <c r="B34" i="19"/>
  <c r="B43" i="19" l="1"/>
  <c r="B46" i="19" s="1"/>
  <c r="F34" i="19"/>
  <c r="D34" i="19"/>
  <c r="B44" i="19"/>
  <c r="AA44" i="6"/>
  <c r="Y44" i="6"/>
  <c r="AA14" i="6" l="1"/>
  <c r="AA15" i="6"/>
  <c r="Z14" i="6"/>
  <c r="Z15" i="6"/>
  <c r="Z16" i="6"/>
  <c r="AA16" i="6" s="1"/>
  <c r="Z17" i="6"/>
  <c r="AA17" i="6" s="1"/>
  <c r="Y15" i="6"/>
  <c r="Y16" i="6"/>
  <c r="Y14" i="6"/>
  <c r="Y13" i="6"/>
  <c r="Z13" i="6" s="1"/>
  <c r="AA13" i="6" l="1"/>
  <c r="AA18" i="6" s="1"/>
  <c r="Z18" i="6"/>
  <c r="N31" i="6"/>
  <c r="AF16" i="6" s="1"/>
  <c r="Q40" i="6"/>
  <c r="M42" i="6" l="1"/>
  <c r="M41" i="6"/>
  <c r="M40" i="6"/>
  <c r="Z38" i="6" l="1"/>
  <c r="Z39" i="6"/>
  <c r="M43" i="6"/>
  <c r="Z40" i="6" s="1"/>
  <c r="K51" i="6"/>
  <c r="K49" i="6"/>
  <c r="M37" i="6"/>
  <c r="P37" i="6"/>
  <c r="N29" i="6"/>
  <c r="AF14" i="6" s="1"/>
  <c r="N30" i="6"/>
  <c r="AF15" i="6" s="1"/>
  <c r="N32" i="6"/>
  <c r="AF17" i="6" s="1"/>
  <c r="N28" i="6"/>
  <c r="AF13" i="6" s="1"/>
  <c r="W43" i="6" l="1"/>
  <c r="U43" i="6"/>
  <c r="O24" i="6"/>
  <c r="O23" i="6"/>
  <c r="O22" i="6"/>
  <c r="O21" i="6"/>
  <c r="O20" i="6"/>
  <c r="M2" i="6" l="1"/>
  <c r="L2" i="6"/>
  <c r="L20" i="6" s="1"/>
  <c r="S13" i="6" s="1"/>
  <c r="O2" i="6" l="1"/>
  <c r="M20" i="6" s="1"/>
  <c r="P2" i="6"/>
  <c r="P3" i="6" l="1"/>
  <c r="P4" i="6" s="1"/>
  <c r="P5" i="6" s="1"/>
  <c r="P6" i="6" s="1"/>
  <c r="P7" i="6" s="1"/>
  <c r="L21" i="6"/>
  <c r="T1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" i="6"/>
  <c r="F53" i="6" l="1"/>
  <c r="H53" i="6"/>
  <c r="G53" i="6"/>
  <c r="F64" i="6"/>
  <c r="H64" i="6"/>
  <c r="G64" i="6"/>
  <c r="F52" i="6"/>
  <c r="H52" i="6"/>
  <c r="G52" i="6"/>
  <c r="F77" i="6"/>
  <c r="H77" i="6"/>
  <c r="G77" i="6"/>
  <c r="F63" i="6"/>
  <c r="H63" i="6"/>
  <c r="G63" i="6"/>
  <c r="F51" i="6"/>
  <c r="H51" i="6"/>
  <c r="G51" i="6"/>
  <c r="F75" i="6"/>
  <c r="G75" i="6"/>
  <c r="H75" i="6"/>
  <c r="F74" i="6"/>
  <c r="H74" i="6"/>
  <c r="G74" i="6"/>
  <c r="F62" i="6"/>
  <c r="H62" i="6"/>
  <c r="G62" i="6"/>
  <c r="F50" i="6"/>
  <c r="G50" i="6"/>
  <c r="H50" i="6"/>
  <c r="F73" i="6"/>
  <c r="H73" i="6"/>
  <c r="G73" i="6"/>
  <c r="F61" i="6"/>
  <c r="H61" i="6"/>
  <c r="G61" i="6"/>
  <c r="F65" i="6"/>
  <c r="H65" i="6"/>
  <c r="G65" i="6"/>
  <c r="F72" i="6"/>
  <c r="G72" i="6"/>
  <c r="H72" i="6"/>
  <c r="F60" i="6"/>
  <c r="G60" i="6"/>
  <c r="H60" i="6"/>
  <c r="F71" i="6"/>
  <c r="G71" i="6"/>
  <c r="H71" i="6"/>
  <c r="F59" i="6"/>
  <c r="G59" i="6"/>
  <c r="H59" i="6"/>
  <c r="F76" i="6"/>
  <c r="H76" i="6"/>
  <c r="G76" i="6"/>
  <c r="F70" i="6"/>
  <c r="G70" i="6"/>
  <c r="H70" i="6"/>
  <c r="F58" i="6"/>
  <c r="G58" i="6"/>
  <c r="H58" i="6"/>
  <c r="F78" i="6"/>
  <c r="H78" i="6"/>
  <c r="G78" i="6"/>
  <c r="F69" i="6"/>
  <c r="G69" i="6"/>
  <c r="H69" i="6"/>
  <c r="F57" i="6"/>
  <c r="G57" i="6"/>
  <c r="H57" i="6"/>
  <c r="M21" i="6"/>
  <c r="S14" i="6"/>
  <c r="F68" i="6"/>
  <c r="G68" i="6"/>
  <c r="H68" i="6"/>
  <c r="F56" i="6"/>
  <c r="G56" i="6"/>
  <c r="H56" i="6"/>
  <c r="Q2" i="6" a="1"/>
  <c r="F79" i="6"/>
  <c r="G79" i="6"/>
  <c r="H79" i="6"/>
  <c r="F67" i="6"/>
  <c r="G67" i="6"/>
  <c r="H67" i="6"/>
  <c r="F55" i="6"/>
  <c r="G55" i="6"/>
  <c r="H55" i="6"/>
  <c r="F66" i="6"/>
  <c r="H66" i="6"/>
  <c r="G66" i="6"/>
  <c r="F54" i="6"/>
  <c r="H54" i="6"/>
  <c r="G54" i="6"/>
  <c r="L22" i="6" l="1"/>
  <c r="T14" i="6"/>
  <c r="Q2" i="6"/>
  <c r="Q7" i="6"/>
  <c r="Q3" i="6"/>
  <c r="Q6" i="6"/>
  <c r="Q5" i="6"/>
  <c r="Q4" i="6"/>
  <c r="H80" i="6"/>
  <c r="J51" i="6" s="1"/>
  <c r="M45" i="6" s="1"/>
  <c r="G80" i="6"/>
  <c r="J49" i="6" s="1"/>
  <c r="M44" i="6" s="1"/>
  <c r="F80" i="6"/>
  <c r="M22" i="6" l="1"/>
  <c r="S15" i="6"/>
  <c r="L23" i="6" l="1"/>
  <c r="T15" i="6"/>
  <c r="M23" i="6" l="1"/>
  <c r="S16" i="6"/>
  <c r="L24" i="6" l="1"/>
  <c r="T16" i="6"/>
  <c r="S17" i="6" l="1"/>
  <c r="M24" i="6"/>
  <c r="T17" i="6" l="1"/>
  <c r="N20" i="6" a="1"/>
  <c r="N22" i="6" l="1"/>
  <c r="N21" i="6"/>
  <c r="N24" i="6"/>
  <c r="N20" i="6"/>
  <c r="N23" i="6"/>
  <c r="O31" i="6" l="1"/>
  <c r="P31" i="6" s="1"/>
  <c r="U16" i="6"/>
  <c r="AB16" i="6" s="1"/>
  <c r="O28" i="6"/>
  <c r="P28" i="6" s="1"/>
  <c r="U13" i="6"/>
  <c r="O32" i="6"/>
  <c r="P32" i="6" s="1"/>
  <c r="U17" i="6"/>
  <c r="AB17" i="6" s="1"/>
  <c r="O29" i="6"/>
  <c r="P29" i="6" s="1"/>
  <c r="U14" i="6"/>
  <c r="AB14" i="6" s="1"/>
  <c r="O30" i="6"/>
  <c r="P30" i="6" s="1"/>
  <c r="U15" i="6"/>
  <c r="AB15" i="6" s="1"/>
  <c r="Q28" i="6"/>
  <c r="Q29" i="6" l="1"/>
  <c r="Q30" i="6" s="1"/>
  <c r="Q31" i="6" s="1"/>
  <c r="Q32" i="6" s="1"/>
  <c r="P33" i="6"/>
  <c r="O33" i="6"/>
  <c r="M35" i="6" s="1"/>
  <c r="U18" i="6"/>
  <c r="AB13" i="6"/>
  <c r="AB18" i="6" s="1"/>
  <c r="R30" i="6" l="1"/>
  <c r="U28" i="6"/>
  <c r="S32" i="6"/>
  <c r="S30" i="6"/>
  <c r="T31" i="6"/>
  <c r="S28" i="6"/>
  <c r="R29" i="6"/>
  <c r="R31" i="6"/>
  <c r="T30" i="6"/>
  <c r="U29" i="6"/>
  <c r="R28" i="6"/>
  <c r="T29" i="6"/>
  <c r="U31" i="6"/>
  <c r="U32" i="6"/>
  <c r="T32" i="6"/>
  <c r="U30" i="6"/>
  <c r="S29" i="6"/>
  <c r="T28" i="6"/>
  <c r="S31" i="6"/>
  <c r="R32" i="6"/>
  <c r="R33" i="6" l="1"/>
  <c r="S33" i="6"/>
  <c r="Q41" i="6" s="1"/>
  <c r="T33" i="6"/>
  <c r="V28" i="6" s="1"/>
  <c r="Q42" i="6"/>
  <c r="W28" i="6" s="1"/>
  <c r="X28" i="6" s="1"/>
  <c r="AA43" i="6"/>
  <c r="Y43" i="6"/>
  <c r="U33" i="6"/>
  <c r="V29" i="6" s="1"/>
  <c r="W29" i="6" l="1"/>
  <c r="X29" i="6" s="1"/>
  <c r="Q43" i="6"/>
  <c r="AA40" i="6" s="1"/>
  <c r="AA38" i="6"/>
  <c r="AA39" i="6"/>
  <c r="W13" i="6"/>
  <c r="V14" i="6"/>
  <c r="W14" i="6"/>
  <c r="V15" i="6"/>
  <c r="W15" i="6"/>
  <c r="V16" i="6"/>
  <c r="W16" i="6"/>
  <c r="V17" i="6"/>
  <c r="W44" i="6" l="1"/>
  <c r="U44" i="6"/>
</calcChain>
</file>

<file path=xl/sharedStrings.xml><?xml version="1.0" encoding="utf-8"?>
<sst xmlns="http://schemas.openxmlformats.org/spreadsheetml/2006/main" count="161" uniqueCount="99">
  <si>
    <t>№</t>
  </si>
  <si>
    <t>Х</t>
  </si>
  <si>
    <t>У</t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</si>
  <si>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</si>
  <si>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min(X)</t>
  </si>
  <si>
    <t>max(X)</t>
  </si>
  <si>
    <t>Число интервалов</t>
  </si>
  <si>
    <t>Длина интервалов</t>
  </si>
  <si>
    <t>Карман</t>
  </si>
  <si>
    <t>Частота</t>
  </si>
  <si>
    <t>Интегральный %</t>
  </si>
  <si>
    <t>Еще</t>
  </si>
  <si>
    <t>Интервал</t>
  </si>
  <si>
    <t>Накопленная частота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</si>
  <si>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</si>
  <si>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</si>
  <si>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</si>
  <si>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</si>
  <si>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</si>
  <si>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</si>
  <si>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</si>
  <si>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</si>
  <si>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Минимум</t>
  </si>
  <si>
    <t>Максимум</t>
  </si>
  <si>
    <t>Сумма</t>
  </si>
  <si>
    <t>Счет</t>
  </si>
  <si>
    <t>Y</t>
  </si>
  <si>
    <t>Середина интервала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</si>
  <si>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</si>
  <si>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Накопленная частота S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</si>
  <si>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|xi-x̄|*ni</t>
  </si>
  <si>
    <r>
      <t>(x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-x̄)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*n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</si>
  <si>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Частота, 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</si>
  <si>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-</t>
  </si>
  <si>
    <t>Размах вариации</t>
  </si>
  <si>
    <t>Дисперсия</t>
  </si>
  <si>
    <t>Среднее квадр откл</t>
  </si>
  <si>
    <t>Коэффициент асимметрии</t>
  </si>
  <si>
    <t>Коэффициент эксцесса</t>
  </si>
  <si>
    <r>
      <t>(x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-x̄)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*n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</si>
  <si>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(x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-x̄)</t>
    </r>
    <r>
      <rPr>
        <vertAlign val="super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>*n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</si>
  <si>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Итого</t>
  </si>
  <si>
    <t>Коэффициент вариации, %</t>
  </si>
  <si>
    <t>X</t>
  </si>
  <si>
    <t>i</t>
  </si>
  <si>
    <t>ni</t>
  </si>
  <si>
    <r>
      <t>u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</si>
  <si>
    <r>
      <t>u</t>
    </r>
    <r>
      <rPr>
        <vertAlign val="subscript"/>
        <sz val="11"/>
        <color rgb="FF000000"/>
        <rFont val="Calibri"/>
        <family val="2"/>
        <charset val="204"/>
        <scheme val="minor"/>
      </rPr>
      <t>i+1</t>
    </r>
  </si>
  <si>
    <r>
      <t>n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</si>
  <si>
    <r>
      <t>x</t>
    </r>
    <r>
      <rPr>
        <vertAlign val="subscript"/>
        <sz val="11"/>
        <color rgb="FF000000"/>
        <rFont val="Calibri"/>
        <family val="2"/>
        <charset val="204"/>
        <scheme val="minor"/>
      </rPr>
      <t>i+1</t>
    </r>
  </si>
  <si>
    <r>
      <t>x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</si>
  <si>
    <r>
      <t>Ф(u</t>
    </r>
    <r>
      <rPr>
        <vertAlign val="subscript"/>
        <sz val="11"/>
        <color rgb="FF000000"/>
        <rFont val="Calibri"/>
        <family val="2"/>
        <charset val="204"/>
        <scheme val="minor"/>
      </rPr>
      <t>i+1</t>
    </r>
    <r>
      <rPr>
        <sz val="11"/>
        <color rgb="FF000000"/>
        <rFont val="Calibri"/>
        <family val="2"/>
        <charset val="204"/>
        <scheme val="minor"/>
      </rPr>
      <t>)</t>
    </r>
  </si>
  <si>
    <r>
      <t>Ф(u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  <r>
      <rPr>
        <sz val="11"/>
        <color rgb="FF000000"/>
        <rFont val="Calibri"/>
        <family val="2"/>
        <charset val="204"/>
        <scheme val="minor"/>
      </rPr>
      <t>)</t>
    </r>
  </si>
  <si>
    <t>Итого:</t>
  </si>
  <si>
    <t>-∞</t>
  </si>
  <si>
    <t>+∞</t>
  </si>
  <si>
    <r>
      <t>p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</si>
  <si>
    <t>n'i</t>
  </si>
  <si>
    <r>
      <t>n'</t>
    </r>
    <r>
      <rPr>
        <vertAlign val="subscript"/>
        <sz val="11"/>
        <color rgb="FF000000"/>
        <rFont val="Calibri"/>
        <family val="2"/>
        <charset val="204"/>
        <scheme val="minor"/>
      </rPr>
      <t>i</t>
    </r>
  </si>
  <si>
    <t>Станд ошибка выборочной средней</t>
  </si>
  <si>
    <t>Ошибка среднего квадратического отклонения</t>
  </si>
  <si>
    <t>Ошибка коэффициента вариации</t>
  </si>
  <si>
    <t>Для среднего значения</t>
  </si>
  <si>
    <t>Для среднего квадратического</t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</si>
  <si>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</si>
  <si>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</si>
  <si>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XY</t>
  </si>
  <si>
    <t>x̄</t>
  </si>
  <si>
    <r>
      <t>x̄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</si>
  <si>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sz val="11"/>
        <color theme="1"/>
        <rFont val="Calibri"/>
        <family val="2"/>
        <charset val="204"/>
      </rPr>
      <t>̄</t>
    </r>
  </si>
  <si>
    <r>
      <t>ȳ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</si>
  <si>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charset val="204"/>
      </rPr>
      <t>̅</t>
    </r>
  </si>
  <si>
    <r>
      <t>x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  <scheme val="minor"/>
      </rPr>
      <t>^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204"/>
      </rPr>
      <t>̅</t>
    </r>
  </si>
  <si>
    <r>
      <t>y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  <scheme val="minor"/>
      </rPr>
      <t>^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204"/>
      </rPr>
      <t>̅</t>
    </r>
  </si>
  <si>
    <t>Линейный коэффициент корреляции r</t>
  </si>
  <si>
    <t>Связь обратная, слабая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</si>
  <si>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</si>
  <si>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</si>
  <si>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</si>
  <si>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</si>
  <si>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</si>
  <si>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Наблюдения</t>
  </si>
  <si>
    <t>Дисперсионный анализ</t>
  </si>
  <si>
    <t>Регрессия</t>
  </si>
  <si>
    <t>Остаток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</si>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</sst>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vertAlign val="subscript"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0" fillId="0" borderId="0" xfId="0" applyNumberFormat="1"/>
    <xf numFmtId="10" fontId="0" fillId="0" borderId="0" xfId="0" applyNumberFormat="1"/>
    <xf numFmtId="0" fontId="0" fillId="0" borderId="2" xfId="0" applyBorder="1"/>
    <xf numFmtId="10" fontId="0" fillId="0" borderId="2" xfId="0" applyNumberFormat="1" applyBorder="1"/>
    <xf numFmtId="2" fontId="0" fillId="0" borderId="2" xfId="0" applyNumberFormat="1" applyBorder="1"/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6" xfId="0" applyBorder="1"/>
    <xf numFmtId="0" fontId="0" fillId="2" borderId="0" xfId="0" applyFill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Гистограмма!$A$2:$A$8</c:f>
              <c:strCache>
                <c:ptCount val="7"/>
                <c:pt idx="0">
                  <c:v>3,06</c:v>
                </c:pt>
                <c:pt idx="1">
                  <c:v>5,43</c:v>
                </c:pt>
                <c:pt idx="2">
                  <c:v>7,79</c:v>
                </c:pt>
                <c:pt idx="3">
                  <c:v>10,16</c:v>
                </c:pt>
                <c:pt idx="4">
                  <c:v>12,53</c:v>
                </c:pt>
                <c:pt idx="5">
                  <c:v>14,90</c:v>
                </c:pt>
                <c:pt idx="6">
                  <c:v>Еще</c:v>
                </c:pt>
              </c:strCache>
            </c:strRef>
          </c:cat>
          <c:val>
            <c:numRef>
              <c:f>Гистограмма!$B$2:$B$7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B-4CA0-9EBD-EB0C03E8F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420848"/>
        <c:axId val="598880032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Гистограмма!$D$2:$D$8</c:f>
              <c:strCache>
                <c:ptCount val="7"/>
                <c:pt idx="0">
                  <c:v>14,90</c:v>
                </c:pt>
                <c:pt idx="1">
                  <c:v>7,79</c:v>
                </c:pt>
                <c:pt idx="2">
                  <c:v>10,16</c:v>
                </c:pt>
                <c:pt idx="3">
                  <c:v>5,43</c:v>
                </c:pt>
                <c:pt idx="4">
                  <c:v>12,53</c:v>
                </c:pt>
                <c:pt idx="5">
                  <c:v>3,06</c:v>
                </c:pt>
                <c:pt idx="6">
                  <c:v>Еще</c:v>
                </c:pt>
              </c:strCache>
            </c:strRef>
          </c:cat>
          <c:val>
            <c:numRef>
              <c:f>Гистограмма!$C$2:$C$7</c:f>
              <c:numCache>
                <c:formatCode>0.00%</c:formatCode>
                <c:ptCount val="6"/>
                <c:pt idx="0">
                  <c:v>3.3333333333333333E-2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0.76666666666666672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B-4CA0-9EBD-EB0C03E8F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396048"/>
        <c:axId val="598880864"/>
      </c:lineChart>
      <c:catAx>
        <c:axId val="38542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8880032"/>
        <c:crosses val="autoZero"/>
        <c:auto val="1"/>
        <c:lblAlgn val="ctr"/>
        <c:lblOffset val="100"/>
        <c:noMultiLvlLbl val="0"/>
      </c:catAx>
      <c:valAx>
        <c:axId val="59888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85420848"/>
        <c:crosses val="autoZero"/>
        <c:crossBetween val="between"/>
      </c:valAx>
      <c:valAx>
        <c:axId val="5988808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5396048"/>
        <c:crosses val="max"/>
        <c:crossBetween val="between"/>
      </c:valAx>
      <c:catAx>
        <c:axId val="385396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88808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0039370078740143E-2"/>
          <c:y val="0.17171296296296296"/>
          <c:w val="0.86462029746281721"/>
          <c:h val="0.7162580198308543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'Вариант 4'!$F$2:$F$31</c:f>
              <c:numCache>
                <c:formatCode>0.00</c:formatCode>
                <c:ptCount val="30"/>
                <c:pt idx="0">
                  <c:v>91.017395550401318</c:v>
                </c:pt>
                <c:pt idx="1">
                  <c:v>91.519119846186712</c:v>
                </c:pt>
                <c:pt idx="2">
                  <c:v>94.126621295815909</c:v>
                </c:pt>
                <c:pt idx="3">
                  <c:v>94.424176763206887</c:v>
                </c:pt>
                <c:pt idx="4">
                  <c:v>94.779412213507499</c:v>
                </c:pt>
                <c:pt idx="5">
                  <c:v>96.348673970763272</c:v>
                </c:pt>
                <c:pt idx="6">
                  <c:v>97.667073580126342</c:v>
                </c:pt>
                <c:pt idx="7">
                  <c:v>99.531144138920254</c:v>
                </c:pt>
                <c:pt idx="8">
                  <c:v>101.25330362865077</c:v>
                </c:pt>
                <c:pt idx="9">
                  <c:v>104.10983611560411</c:v>
                </c:pt>
                <c:pt idx="10">
                  <c:v>105.26160466322824</c:v>
                </c:pt>
                <c:pt idx="11">
                  <c:v>105.34308908352916</c:v>
                </c:pt>
                <c:pt idx="12">
                  <c:v>105.92812891018403</c:v>
                </c:pt>
                <c:pt idx="13">
                  <c:v>106.29160435804314</c:v>
                </c:pt>
                <c:pt idx="14">
                  <c:v>106.64226203192236</c:v>
                </c:pt>
                <c:pt idx="15">
                  <c:v>106.74205755790886</c:v>
                </c:pt>
                <c:pt idx="16">
                  <c:v>106.83178197576831</c:v>
                </c:pt>
                <c:pt idx="17">
                  <c:v>108.84142582476272</c:v>
                </c:pt>
                <c:pt idx="18">
                  <c:v>109.99502548295541</c:v>
                </c:pt>
                <c:pt idx="19">
                  <c:v>110.48667867061373</c:v>
                </c:pt>
                <c:pt idx="20">
                  <c:v>111.34638508255257</c:v>
                </c:pt>
                <c:pt idx="21">
                  <c:v>112.90191351054415</c:v>
                </c:pt>
                <c:pt idx="22">
                  <c:v>115.19995727408673</c:v>
                </c:pt>
                <c:pt idx="23">
                  <c:v>115.75112155522325</c:v>
                </c:pt>
                <c:pt idx="24">
                  <c:v>116.64012573625904</c:v>
                </c:pt>
                <c:pt idx="25">
                  <c:v>118.53715628528703</c:v>
                </c:pt>
                <c:pt idx="26">
                  <c:v>118.68730735190893</c:v>
                </c:pt>
                <c:pt idx="27">
                  <c:v>119.34650715659048</c:v>
                </c:pt>
                <c:pt idx="28">
                  <c:v>119.67610705893125</c:v>
                </c:pt>
                <c:pt idx="29">
                  <c:v>120.69237342448194</c:v>
                </c:pt>
              </c:numCache>
            </c:numRef>
          </c:xVal>
          <c:yVal>
            <c:numRef>
              <c:f>'Вариант 4'!$G$2:$G$31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44-40B3-ADA7-1895605D9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429440"/>
        <c:axId val="132289024"/>
      </c:scatterChart>
      <c:valAx>
        <c:axId val="2061429440"/>
        <c:scaling>
          <c:orientation val="minMax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89024"/>
        <c:crosses val="autoZero"/>
        <c:crossBetween val="midCat"/>
      </c:valAx>
      <c:valAx>
        <c:axId val="1322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142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0.17634259259259263"/>
          <c:w val="0.89653018372703408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v>Теоретические данные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'Вариант 4'!$AF$13:$AF$17</c:f>
              <c:numCache>
                <c:formatCode>0.00</c:formatCode>
                <c:ptCount val="5"/>
                <c:pt idx="0">
                  <c:v>4.241496871852779</c:v>
                </c:pt>
                <c:pt idx="1">
                  <c:v>6.6094968718527793</c:v>
                </c:pt>
                <c:pt idx="2">
                  <c:v>8.9774968718527788</c:v>
                </c:pt>
                <c:pt idx="3">
                  <c:v>11.345496871852781</c:v>
                </c:pt>
                <c:pt idx="4">
                  <c:v>13.71399687185278</c:v>
                </c:pt>
              </c:numCache>
            </c:numRef>
          </c:xVal>
          <c:yVal>
            <c:numRef>
              <c:f>'Вариант 4'!$AE$13:$AE$17</c:f>
              <c:numCache>
                <c:formatCode>0.00</c:formatCode>
                <c:ptCount val="5"/>
                <c:pt idx="0">
                  <c:v>4.3380000000000001</c:v>
                </c:pt>
                <c:pt idx="1">
                  <c:v>6.3329999999999993</c:v>
                </c:pt>
                <c:pt idx="2">
                  <c:v>8.0940000000000012</c:v>
                </c:pt>
                <c:pt idx="3">
                  <c:v>6.5489999999999995</c:v>
                </c:pt>
                <c:pt idx="4">
                  <c:v>4.6859999999999999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1-41E5-91DA-FE2B39009451}"/>
            </c:ext>
          </c:extLst>
        </c:ser>
        <c:ser>
          <c:idx val="1"/>
          <c:order val="1"/>
          <c:tx>
            <c:v>Эмпирические данные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'Вариант 4'!$AF$13:$AF$17</c:f>
              <c:numCache>
                <c:formatCode>0.00</c:formatCode>
                <c:ptCount val="5"/>
                <c:pt idx="0">
                  <c:v>4.241496871852779</c:v>
                </c:pt>
                <c:pt idx="1">
                  <c:v>6.6094968718527793</c:v>
                </c:pt>
                <c:pt idx="2">
                  <c:v>8.9774968718527788</c:v>
                </c:pt>
                <c:pt idx="3">
                  <c:v>11.345496871852781</c:v>
                </c:pt>
                <c:pt idx="4">
                  <c:v>13.71399687185278</c:v>
                </c:pt>
              </c:numCache>
            </c:numRef>
          </c:xVal>
          <c:yVal>
            <c:numRef>
              <c:f>'Вариант 4'!$AD$13:$AD$17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1-41E5-91DA-FE2B3900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795168"/>
        <c:axId val="784798528"/>
      </c:scatterChart>
      <c:valAx>
        <c:axId val="78479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4798528"/>
        <c:crosses val="autoZero"/>
        <c:crossBetween val="midCat"/>
      </c:valAx>
      <c:valAx>
        <c:axId val="7847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479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'Вариант 4'!$C$1</c:f>
              <c:strCache>
                <c:ptCount val="1"/>
                <c:pt idx="0">
                  <c:v>У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7621285041384982E-2"/>
                  <c:y val="0.5005268399335888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</a:t>
                    </a:r>
                    <a:r>
                      <a:rPr lang="ru-RU" baseline="0"/>
                      <a:t>0,32</a:t>
                    </a:r>
                    <a:r>
                      <a:rPr lang="en-US" baseline="0"/>
                      <a:t>x + 109,7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'Вариант 4'!$B$2:$B$31</c:f>
              <c:numCache>
                <c:formatCode>0.00</c:formatCode>
                <c:ptCount val="30"/>
                <c:pt idx="0">
                  <c:v>5.0669576097903377</c:v>
                </c:pt>
                <c:pt idx="1">
                  <c:v>3.491836298715171</c:v>
                </c:pt>
                <c:pt idx="2">
                  <c:v>11.048829615161596</c:v>
                </c:pt>
                <c:pt idx="3">
                  <c:v>3.0574968718527789</c:v>
                </c:pt>
                <c:pt idx="4">
                  <c:v>3.4720603045747245</c:v>
                </c:pt>
                <c:pt idx="5">
                  <c:v>5.4701681569872127</c:v>
                </c:pt>
                <c:pt idx="6">
                  <c:v>6.0590533158360547</c:v>
                </c:pt>
                <c:pt idx="7">
                  <c:v>13.623371074556719</c:v>
                </c:pt>
                <c:pt idx="8">
                  <c:v>13.697714163640248</c:v>
                </c:pt>
                <c:pt idx="9">
                  <c:v>14.897824030274361</c:v>
                </c:pt>
                <c:pt idx="10">
                  <c:v>7.8659932248908966</c:v>
                </c:pt>
                <c:pt idx="11">
                  <c:v>6.7402264473403122</c:v>
                </c:pt>
                <c:pt idx="12">
                  <c:v>12.32181768242439</c:v>
                </c:pt>
                <c:pt idx="13">
                  <c:v>8.3406170842616056</c:v>
                </c:pt>
                <c:pt idx="14">
                  <c:v>13.862880336924345</c:v>
                </c:pt>
                <c:pt idx="15">
                  <c:v>10.951414532914214</c:v>
                </c:pt>
                <c:pt idx="16">
                  <c:v>13.543900875881222</c:v>
                </c:pt>
                <c:pt idx="17">
                  <c:v>9.7245704519791243</c:v>
                </c:pt>
                <c:pt idx="18">
                  <c:v>10.710074159978026</c:v>
                </c:pt>
                <c:pt idx="19">
                  <c:v>4.9695425275429548</c:v>
                </c:pt>
                <c:pt idx="20">
                  <c:v>7.144901882992035</c:v>
                </c:pt>
                <c:pt idx="21">
                  <c:v>13.946012756736963</c:v>
                </c:pt>
                <c:pt idx="22">
                  <c:v>6.9954832605975525</c:v>
                </c:pt>
                <c:pt idx="23">
                  <c:v>13.193792535172582</c:v>
                </c:pt>
                <c:pt idx="24">
                  <c:v>3.4423963133640552</c:v>
                </c:pt>
                <c:pt idx="25">
                  <c:v>9.5103305154576248</c:v>
                </c:pt>
                <c:pt idx="26">
                  <c:v>8.8258613849299614</c:v>
                </c:pt>
                <c:pt idx="27">
                  <c:v>12.433881649220252</c:v>
                </c:pt>
                <c:pt idx="28">
                  <c:v>8.6138187810907318</c:v>
                </c:pt>
                <c:pt idx="29">
                  <c:v>6.0663777581102938</c:v>
                </c:pt>
              </c:numCache>
            </c:numRef>
          </c:xVal>
          <c:yVal>
            <c:numRef>
              <c:f>'Вариант 4'!$C$2:$C$31</c:f>
              <c:numCache>
                <c:formatCode>0.00</c:formatCode>
                <c:ptCount val="30"/>
                <c:pt idx="0">
                  <c:v>99.531144138920254</c:v>
                </c:pt>
                <c:pt idx="1">
                  <c:v>108.84142582476272</c:v>
                </c:pt>
                <c:pt idx="2">
                  <c:v>106.29160435804314</c:v>
                </c:pt>
                <c:pt idx="3">
                  <c:v>105.34308908352916</c:v>
                </c:pt>
                <c:pt idx="4">
                  <c:v>96.348673970763272</c:v>
                </c:pt>
                <c:pt idx="5">
                  <c:v>106.74205755790886</c:v>
                </c:pt>
                <c:pt idx="6">
                  <c:v>116.64012573625904</c:v>
                </c:pt>
                <c:pt idx="7">
                  <c:v>94.779412213507499</c:v>
                </c:pt>
                <c:pt idx="8">
                  <c:v>118.68730735190893</c:v>
                </c:pt>
                <c:pt idx="9">
                  <c:v>91.519119846186712</c:v>
                </c:pt>
                <c:pt idx="10">
                  <c:v>115.75112155522325</c:v>
                </c:pt>
                <c:pt idx="11">
                  <c:v>120.69237342448194</c:v>
                </c:pt>
                <c:pt idx="12">
                  <c:v>110.48667867061373</c:v>
                </c:pt>
                <c:pt idx="13">
                  <c:v>119.67610705893125</c:v>
                </c:pt>
                <c:pt idx="14">
                  <c:v>104.10983611560411</c:v>
                </c:pt>
                <c:pt idx="15">
                  <c:v>106.64226203192236</c:v>
                </c:pt>
                <c:pt idx="16">
                  <c:v>91.017395550401318</c:v>
                </c:pt>
                <c:pt idx="17">
                  <c:v>118.53715628528703</c:v>
                </c:pt>
                <c:pt idx="18">
                  <c:v>119.34650715659048</c:v>
                </c:pt>
                <c:pt idx="19">
                  <c:v>105.92812891018403</c:v>
                </c:pt>
                <c:pt idx="20">
                  <c:v>106.83178197576831</c:v>
                </c:pt>
                <c:pt idx="21">
                  <c:v>94.126621295815909</c:v>
                </c:pt>
                <c:pt idx="22">
                  <c:v>111.34638508255257</c:v>
                </c:pt>
                <c:pt idx="23">
                  <c:v>109.99502548295541</c:v>
                </c:pt>
                <c:pt idx="24">
                  <c:v>105.26160466322824</c:v>
                </c:pt>
                <c:pt idx="25">
                  <c:v>94.424176763206887</c:v>
                </c:pt>
                <c:pt idx="26">
                  <c:v>101.25330362865077</c:v>
                </c:pt>
                <c:pt idx="27">
                  <c:v>115.19995727408673</c:v>
                </c:pt>
                <c:pt idx="28">
                  <c:v>112.90191351054415</c:v>
                </c:pt>
                <c:pt idx="29">
                  <c:v>97.667073580126342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F-4C32-9B05-F37E977E5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584640"/>
        <c:axId val="760074496"/>
      </c:scatterChart>
      <c:valAx>
        <c:axId val="75158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074496"/>
        <c:crosses val="autoZero"/>
        <c:crossBetween val="midCat"/>
      </c:valAx>
      <c:valAx>
        <c:axId val="7600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58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13</xdr:row>
      <xdr:rowOff>38100</xdr:rowOff>
    </xdr:from>
    <xdr:to>
      <xdr:col>8</xdr:col>
      <xdr:colOff>142875</xdr:colOff>
      <xdr:row>23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B2C872-6555-4E3B-8934-BF1756794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1359807</xdr:colOff>
      <xdr:row>48</xdr:row>
      <xdr:rowOff>59643</xdr:rowOff>
    </xdr:from>
    <xdr:to>
      <xdr:col>24</xdr:col>
      <xdr:colOff>190499</xdr:colOff>
      <xdr:row>62</xdr:row>
      <xdr:rowOff>135843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A26275-BB6E-43EE-91C7-E4CE40D03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248047</xdr:colOff>
      <xdr:row>21</xdr:row>
      <xdr:rowOff>59531</xdr:rowOff>
    </xdr:from>
    <xdr:to>
      <xdr:col>31</xdr:col>
      <xdr:colOff>1161588</xdr:colOff>
      <xdr:row>35</xdr:row>
      <xdr:rowOff>4383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9C3283-D671-4B55-AC99-314D906A5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581423</xdr:colOff>
      <xdr:row>47</xdr:row>
      <xdr:rowOff>146448</xdr:rowOff>
    </xdr:from>
    <xdr:to>
      <xdr:col>31</xdr:col>
      <xdr:colOff>916782</xdr:colOff>
      <xdr:row>62</xdr:row>
      <xdr:rowOff>22226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FBD3C1-4AE6-4954-9E26-5EB8821DE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E8A0-517F-48EF-82B7-3A800C6DB031}">
  <dimension ref="A1:F8"/>
  <sheetViews>
    <sheetView workbookViewId="0">
      <selection activeCell="H10" sqref="H10"/>
    </sheetView>
  </sheetViews>
  <sheetFormatPr baseColWidth="10" defaultColWidth="8.83203125" defaultRowHeight="15" x14ac:dyDescent="0.2"/>
  <cols>
    <col min="6" max="6" width="22.6640625" bestFit="1" customWidth="1"/>
  </cols>
  <sheetData>
    <row r="1" spans="1:6" x14ac:dyDescent="0.2">
      <c r="A1" s="10" t="s">
        <v>8</v>
      </c>
      <c r="B1" s="10" t="s">
        <v>9</v>
      </c>
      <c r="C1" s="10" t="s">
        <v>10</v>
      </c>
      <c r="D1" s="10" t="s">
        <v>8</v>
      </c>
      <c r="E1" s="10" t="s">
        <v>9</v>
      </c>
      <c r="F1" s="10" t="s">
        <v>10</v>
      </c>
    </row>
    <row r="2" spans="1:6" x14ac:dyDescent="0.2">
      <c r="A2" s="5">
        <v>3.0574968718527789</v>
      </c>
      <c r="B2">
        <v>1</v>
      </c>
      <c r="C2" s="6">
        <v>3.3333333333333333E-2</v>
      </c>
      <c r="D2" s="5">
        <v>14.89849687185278</v>
      </c>
      <c r="E2">
        <v>7</v>
      </c>
      <c r="F2" s="6">
        <v>0.23333333333333334</v>
      </c>
    </row>
    <row r="3" spans="1:6" x14ac:dyDescent="0.2">
      <c r="A3" s="5">
        <v>5.4254968718527792</v>
      </c>
      <c r="B3">
        <v>5</v>
      </c>
      <c r="C3" s="6">
        <v>0.2</v>
      </c>
      <c r="D3" s="5">
        <v>7.7934968718527795</v>
      </c>
      <c r="E3">
        <v>6</v>
      </c>
      <c r="F3" s="6">
        <v>0.43333333333333335</v>
      </c>
    </row>
    <row r="4" spans="1:6" x14ac:dyDescent="0.2">
      <c r="A4" s="5">
        <v>7.7934968718527795</v>
      </c>
      <c r="B4">
        <v>6</v>
      </c>
      <c r="C4" s="6">
        <v>0.4</v>
      </c>
      <c r="D4" s="5">
        <v>10.16149687185278</v>
      </c>
      <c r="E4">
        <v>6</v>
      </c>
      <c r="F4" s="6">
        <v>0.6333333333333333</v>
      </c>
    </row>
    <row r="5" spans="1:6" x14ac:dyDescent="0.2">
      <c r="A5" s="5">
        <v>10.16149687185278</v>
      </c>
      <c r="B5">
        <v>6</v>
      </c>
      <c r="C5" s="6">
        <v>0.6</v>
      </c>
      <c r="D5" s="5">
        <v>5.4254968718527792</v>
      </c>
      <c r="E5">
        <v>5</v>
      </c>
      <c r="F5" s="6">
        <v>0.8</v>
      </c>
    </row>
    <row r="6" spans="1:6" x14ac:dyDescent="0.2">
      <c r="A6" s="5">
        <v>12.52949687185278</v>
      </c>
      <c r="B6">
        <v>5</v>
      </c>
      <c r="C6" s="6">
        <v>0.76666666666666672</v>
      </c>
      <c r="D6" s="5">
        <v>12.52949687185278</v>
      </c>
      <c r="E6">
        <v>5</v>
      </c>
      <c r="F6" s="6">
        <v>0.96666666666666667</v>
      </c>
    </row>
    <row r="7" spans="1:6" x14ac:dyDescent="0.2">
      <c r="A7" s="5">
        <v>14.89849687185278</v>
      </c>
      <c r="B7">
        <v>7</v>
      </c>
      <c r="C7" s="6">
        <v>1</v>
      </c>
      <c r="D7" s="5">
        <v>3.0574968718527789</v>
      </c>
      <c r="E7">
        <v>1</v>
      </c>
      <c r="F7" s="6">
        <v>1</v>
      </c>
    </row>
    <row r="8" spans="1:6" ht="16" thickBot="1" x14ac:dyDescent="0.25">
      <c r="A8" s="7" t="s">
        <v>11</v>
      </c>
      <c r="B8" s="7">
        <v>0</v>
      </c>
      <c r="C8" s="8">
        <v>1</v>
      </c>
      <c r="D8" s="9" t="s">
        <v>11</v>
      </c>
      <c r="E8" s="7">
        <v>0</v>
      </c>
      <c r="F8" s="8">
        <v>1</v>
      </c>
    </row>
  </sheetData>
  <autoFilter ref="A1:F8" xr:uid="{5A89A541-69B3-4145-995B-7AB4233CF8EB}">
    <sortState xmlns:xlrd2="http://schemas.microsoft.com/office/spreadsheetml/2017/richdata2" ref="A2:F8">
      <sortCondition ref="A1:A8"/>
    </sortState>
  </autoFilter>
  <sortState xmlns:xlrd2="http://schemas.microsoft.com/office/spreadsheetml/2017/richdata2" ref="D2:E8">
    <sortCondition descending="1" ref="E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E40B-04FE-4CBF-BEB5-638A37E5CD8C}">
  <dimension ref="B1:D15"/>
  <sheetViews>
    <sheetView workbookViewId="0">
      <selection activeCell="C2" sqref="C2:D15"/>
    </sheetView>
  </sheetViews>
  <sheetFormatPr baseColWidth="10" defaultColWidth="8.83203125" defaultRowHeight="15" x14ac:dyDescent="0.2"/>
  <cols>
    <col min="1" max="1" width="24.5" bestFit="1" customWidth="1"/>
    <col min="2" max="2" width="9" customWidth="1"/>
    <col min="3" max="3" width="24.5" bestFit="1" customWidth="1"/>
  </cols>
  <sheetData>
    <row r="1" spans="2:4" x14ac:dyDescent="0.2">
      <c r="B1" s="13"/>
    </row>
    <row r="2" spans="2:4" x14ac:dyDescent="0.2">
      <c r="C2" s="30" t="s">
        <v>26</v>
      </c>
      <c r="D2" s="30"/>
    </row>
    <row r="3" spans="2:4" x14ac:dyDescent="0.2">
      <c r="C3" s="1" t="s">
        <v>14</v>
      </c>
      <c r="D3" s="2">
        <v>106.8639790032655</v>
      </c>
    </row>
    <row r="4" spans="2:4" x14ac:dyDescent="0.2">
      <c r="C4" s="1" t="s">
        <v>15</v>
      </c>
      <c r="D4" s="2">
        <v>1.6464576981633254</v>
      </c>
    </row>
    <row r="5" spans="2:4" x14ac:dyDescent="0.2">
      <c r="C5" s="1" t="s">
        <v>16</v>
      </c>
      <c r="D5" s="2">
        <v>106.69215979491561</v>
      </c>
    </row>
    <row r="6" spans="2:4" x14ac:dyDescent="0.2">
      <c r="C6" s="1" t="s">
        <v>17</v>
      </c>
      <c r="D6" s="2" t="e">
        <v>#N/A</v>
      </c>
    </row>
    <row r="7" spans="2:4" x14ac:dyDescent="0.2">
      <c r="C7" s="1" t="s">
        <v>18</v>
      </c>
      <c r="D7" s="2">
        <v>9.0180202126208542</v>
      </c>
    </row>
    <row r="8" spans="2:4" x14ac:dyDescent="0.2">
      <c r="C8" s="1" t="s">
        <v>19</v>
      </c>
      <c r="D8" s="2">
        <v>81.324688555238268</v>
      </c>
    </row>
    <row r="9" spans="2:4" x14ac:dyDescent="0.2">
      <c r="C9" s="1" t="s">
        <v>20</v>
      </c>
      <c r="D9" s="2">
        <v>-1.0183937818129873</v>
      </c>
    </row>
    <row r="10" spans="2:4" x14ac:dyDescent="0.2">
      <c r="C10" s="1" t="s">
        <v>21</v>
      </c>
      <c r="D10" s="2">
        <v>-0.16837970430752336</v>
      </c>
    </row>
    <row r="11" spans="2:4" x14ac:dyDescent="0.2">
      <c r="C11" s="1" t="s">
        <v>12</v>
      </c>
      <c r="D11" s="2">
        <v>29.674977874080625</v>
      </c>
    </row>
    <row r="12" spans="2:4" x14ac:dyDescent="0.2">
      <c r="C12" s="1" t="s">
        <v>22</v>
      </c>
      <c r="D12" s="2">
        <v>91.017395550401318</v>
      </c>
    </row>
    <row r="13" spans="2:4" x14ac:dyDescent="0.2">
      <c r="C13" s="1" t="s">
        <v>23</v>
      </c>
      <c r="D13" s="2">
        <v>120.69237342448194</v>
      </c>
    </row>
    <row r="14" spans="2:4" x14ac:dyDescent="0.2">
      <c r="C14" s="1" t="s">
        <v>24</v>
      </c>
      <c r="D14" s="2">
        <v>3205.9193700979649</v>
      </c>
    </row>
    <row r="15" spans="2:4" x14ac:dyDescent="0.2">
      <c r="C15" s="1" t="s">
        <v>25</v>
      </c>
      <c r="D15" s="1">
        <v>30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CE28-7906-432C-BF92-2BB990753221}">
  <dimension ref="A1:AF80"/>
  <sheetViews>
    <sheetView tabSelected="1" zoomScale="64" zoomScaleNormal="90" workbookViewId="0">
      <selection activeCell="N2" sqref="N2"/>
    </sheetView>
  </sheetViews>
  <sheetFormatPr baseColWidth="10" defaultColWidth="8.83203125" defaultRowHeight="15" x14ac:dyDescent="0.2"/>
  <cols>
    <col min="4" max="4" width="24.5" bestFit="1" customWidth="1"/>
    <col min="5" max="5" width="8.33203125" bestFit="1" customWidth="1"/>
    <col min="8" max="8" width="13.5" bestFit="1" customWidth="1"/>
    <col min="12" max="12" width="19.6640625" customWidth="1"/>
    <col min="13" max="13" width="15" bestFit="1" customWidth="1"/>
    <col min="14" max="14" width="22.6640625" bestFit="1" customWidth="1"/>
    <col min="15" max="15" width="20.5" bestFit="1" customWidth="1"/>
    <col min="16" max="16" width="17.33203125" bestFit="1" customWidth="1"/>
    <col min="17" max="17" width="14.1640625" customWidth="1"/>
    <col min="18" max="18" width="11.33203125" customWidth="1"/>
    <col min="32" max="32" width="20.33203125" bestFit="1" customWidth="1"/>
  </cols>
  <sheetData>
    <row r="1" spans="1:32" ht="17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2</v>
      </c>
      <c r="G1" s="1" t="s">
        <v>3</v>
      </c>
      <c r="I1" s="1" t="s">
        <v>0</v>
      </c>
      <c r="J1" s="1" t="s">
        <v>1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32" x14ac:dyDescent="0.2">
      <c r="A2" s="1">
        <v>1</v>
      </c>
      <c r="B2" s="2">
        <v>5.0669576097903377</v>
      </c>
      <c r="C2" s="2">
        <v>99.531144138920254</v>
      </c>
      <c r="E2" s="1">
        <v>17</v>
      </c>
      <c r="F2" s="2">
        <v>91.017395550401318</v>
      </c>
      <c r="G2" s="1">
        <f>COUNTIF($F$2:$F$31,F2)</f>
        <v>1</v>
      </c>
      <c r="I2" s="1">
        <v>4</v>
      </c>
      <c r="J2" s="2">
        <v>3.0574968718527789</v>
      </c>
      <c r="L2" s="2">
        <f>MIN(J2:J31)</f>
        <v>3.0574968718527789</v>
      </c>
      <c r="M2" s="2">
        <f>MAX(J2:J31)</f>
        <v>14.897824030274361</v>
      </c>
      <c r="N2" s="1">
        <f>INT(1+3.22*LOG10(30))</f>
        <v>5</v>
      </c>
      <c r="O2" s="1">
        <f>ROUND((M2-L2)/N2,3)</f>
        <v>2.3679999999999999</v>
      </c>
      <c r="P2" s="3">
        <f>L2</f>
        <v>3.0574968718527789</v>
      </c>
      <c r="Q2" s="4">
        <f t="array" ref="Q2:Q7">FREQUENCY(J2:J31,P2:P7)</f>
        <v>1</v>
      </c>
    </row>
    <row r="3" spans="1:32" x14ac:dyDescent="0.2">
      <c r="A3" s="1">
        <v>2</v>
      </c>
      <c r="B3" s="2">
        <v>3.491836298715171</v>
      </c>
      <c r="C3" s="2">
        <v>108.84142582476272</v>
      </c>
      <c r="E3" s="1">
        <v>10</v>
      </c>
      <c r="F3" s="2">
        <v>91.519119846186712</v>
      </c>
      <c r="G3" s="1">
        <f t="shared" ref="G3:G31" si="0">COUNTIF($F$2:$F$31,F3)</f>
        <v>1</v>
      </c>
      <c r="I3" s="1">
        <v>25</v>
      </c>
      <c r="J3" s="2">
        <v>3.4423963133640552</v>
      </c>
      <c r="L3" s="4"/>
      <c r="M3" s="4"/>
      <c r="N3" s="4"/>
      <c r="O3" s="4"/>
      <c r="P3" s="3">
        <f t="shared" ref="P3:P6" si="1">P2+$O$2</f>
        <v>5.4254968718527792</v>
      </c>
      <c r="Q3" s="4">
        <v>5</v>
      </c>
    </row>
    <row r="4" spans="1:32" x14ac:dyDescent="0.2">
      <c r="A4" s="1">
        <v>3</v>
      </c>
      <c r="B4" s="2">
        <v>11.048829615161596</v>
      </c>
      <c r="C4" s="2">
        <v>106.29160435804314</v>
      </c>
      <c r="E4" s="1">
        <v>22</v>
      </c>
      <c r="F4" s="2">
        <v>94.126621295815909</v>
      </c>
      <c r="G4" s="1">
        <f t="shared" si="0"/>
        <v>1</v>
      </c>
      <c r="I4" s="1">
        <v>5</v>
      </c>
      <c r="J4" s="2">
        <v>3.4720603045747245</v>
      </c>
      <c r="L4" s="4"/>
      <c r="M4" s="4"/>
      <c r="N4" s="4"/>
      <c r="O4" s="4"/>
      <c r="P4" s="3">
        <f t="shared" si="1"/>
        <v>7.7934968718527795</v>
      </c>
      <c r="Q4" s="4">
        <v>6</v>
      </c>
    </row>
    <row r="5" spans="1:32" x14ac:dyDescent="0.2">
      <c r="A5" s="1">
        <v>4</v>
      </c>
      <c r="B5" s="2">
        <v>3.0574968718527789</v>
      </c>
      <c r="C5" s="2">
        <v>105.34308908352916</v>
      </c>
      <c r="E5" s="1">
        <v>26</v>
      </c>
      <c r="F5" s="2">
        <v>94.424176763206887</v>
      </c>
      <c r="G5" s="1">
        <f t="shared" si="0"/>
        <v>1</v>
      </c>
      <c r="I5" s="1">
        <v>2</v>
      </c>
      <c r="J5" s="2">
        <v>3.491836298715171</v>
      </c>
      <c r="L5" s="4"/>
      <c r="M5" s="4"/>
      <c r="N5" s="4"/>
      <c r="O5" s="4"/>
      <c r="P5" s="3">
        <f t="shared" si="1"/>
        <v>10.16149687185278</v>
      </c>
      <c r="Q5" s="4">
        <v>6</v>
      </c>
    </row>
    <row r="6" spans="1:32" x14ac:dyDescent="0.2">
      <c r="A6" s="1">
        <v>5</v>
      </c>
      <c r="B6" s="2">
        <v>3.4720603045747245</v>
      </c>
      <c r="C6" s="2">
        <v>96.348673970763272</v>
      </c>
      <c r="E6" s="1">
        <v>8</v>
      </c>
      <c r="F6" s="2">
        <v>94.779412213507499</v>
      </c>
      <c r="G6" s="1">
        <f t="shared" si="0"/>
        <v>1</v>
      </c>
      <c r="I6" s="1">
        <v>20</v>
      </c>
      <c r="J6" s="2">
        <v>4.9695425275429548</v>
      </c>
      <c r="L6" s="4"/>
      <c r="M6" s="4"/>
      <c r="N6" s="4"/>
      <c r="O6" s="4"/>
      <c r="P6" s="3">
        <f t="shared" si="1"/>
        <v>12.52949687185278</v>
      </c>
      <c r="Q6" s="4">
        <v>5</v>
      </c>
    </row>
    <row r="7" spans="1:32" x14ac:dyDescent="0.2">
      <c r="A7" s="1">
        <v>6</v>
      </c>
      <c r="B7" s="2">
        <v>5.4701681569872127</v>
      </c>
      <c r="C7" s="2">
        <v>106.74205755790886</v>
      </c>
      <c r="E7" s="1">
        <v>5</v>
      </c>
      <c r="F7" s="2">
        <v>96.348673970763272</v>
      </c>
      <c r="G7" s="1">
        <f t="shared" si="0"/>
        <v>1</v>
      </c>
      <c r="I7" s="1">
        <v>1</v>
      </c>
      <c r="J7" s="2">
        <v>5.0669576097903377</v>
      </c>
      <c r="L7" s="4"/>
      <c r="M7" s="4"/>
      <c r="N7" s="4"/>
      <c r="O7" s="4"/>
      <c r="P7" s="3">
        <f>P6+$O$2+0.001</f>
        <v>14.89849687185278</v>
      </c>
      <c r="Q7" s="4">
        <v>7</v>
      </c>
    </row>
    <row r="8" spans="1:32" ht="16" thickBot="1" x14ac:dyDescent="0.25">
      <c r="A8" s="1">
        <v>7</v>
      </c>
      <c r="B8" s="2">
        <v>6.0590533158360547</v>
      </c>
      <c r="C8" s="2">
        <v>116.64012573625904</v>
      </c>
      <c r="E8" s="1">
        <v>30</v>
      </c>
      <c r="F8" s="2">
        <v>97.667073580126342</v>
      </c>
      <c r="G8" s="1">
        <f t="shared" si="0"/>
        <v>1</v>
      </c>
      <c r="I8" s="1">
        <v>6</v>
      </c>
      <c r="J8" s="2">
        <v>5.4701681569872127</v>
      </c>
      <c r="P8" s="5"/>
    </row>
    <row r="9" spans="1:32" x14ac:dyDescent="0.2">
      <c r="A9" s="1">
        <v>8</v>
      </c>
      <c r="B9" s="2">
        <v>13.623371074556719</v>
      </c>
      <c r="C9" s="2">
        <v>94.779412213507499</v>
      </c>
      <c r="E9" s="1">
        <v>1</v>
      </c>
      <c r="F9" s="2">
        <v>99.531144138920254</v>
      </c>
      <c r="G9" s="1">
        <f t="shared" si="0"/>
        <v>1</v>
      </c>
      <c r="I9" s="1">
        <v>7</v>
      </c>
      <c r="J9" s="2">
        <v>6.0590533158360547</v>
      </c>
      <c r="L9" s="10" t="s">
        <v>8</v>
      </c>
      <c r="M9" s="10" t="s">
        <v>9</v>
      </c>
      <c r="N9" s="10" t="s">
        <v>10</v>
      </c>
    </row>
    <row r="10" spans="1:32" x14ac:dyDescent="0.2">
      <c r="A10" s="1">
        <v>9</v>
      </c>
      <c r="B10" s="2">
        <v>13.697714163640248</v>
      </c>
      <c r="C10" s="2">
        <v>118.68730735190893</v>
      </c>
      <c r="E10" s="1">
        <v>27</v>
      </c>
      <c r="F10" s="2">
        <v>101.25330362865077</v>
      </c>
      <c r="G10" s="1">
        <f t="shared" si="0"/>
        <v>1</v>
      </c>
      <c r="I10" s="1">
        <v>30</v>
      </c>
      <c r="J10" s="2">
        <v>6.0663777581102938</v>
      </c>
      <c r="L10" s="5">
        <v>3.0574968718527789</v>
      </c>
      <c r="M10">
        <v>1</v>
      </c>
      <c r="N10" s="6">
        <v>3.3333333333333333E-2</v>
      </c>
    </row>
    <row r="11" spans="1:32" x14ac:dyDescent="0.2">
      <c r="A11" s="1">
        <v>10</v>
      </c>
      <c r="B11" s="2">
        <v>14.897824030274361</v>
      </c>
      <c r="C11" s="2">
        <v>91.519119846186712</v>
      </c>
      <c r="E11" s="1">
        <v>15</v>
      </c>
      <c r="F11" s="2">
        <v>104.10983611560411</v>
      </c>
      <c r="G11" s="1">
        <f t="shared" si="0"/>
        <v>1</v>
      </c>
      <c r="I11" s="1">
        <v>12</v>
      </c>
      <c r="J11" s="2">
        <v>6.7402264473403122</v>
      </c>
      <c r="L11" s="5">
        <v>5.4254968718527792</v>
      </c>
      <c r="M11">
        <v>5</v>
      </c>
      <c r="N11" s="6">
        <v>0.2</v>
      </c>
    </row>
    <row r="12" spans="1:32" ht="17" x14ac:dyDescent="0.25">
      <c r="A12" s="1">
        <v>11</v>
      </c>
      <c r="B12" s="2">
        <v>7.8659932248908966</v>
      </c>
      <c r="C12" s="2">
        <v>115.75112155522325</v>
      </c>
      <c r="E12" s="1">
        <v>25</v>
      </c>
      <c r="F12" s="2">
        <v>105.26160466322824</v>
      </c>
      <c r="G12" s="1">
        <f t="shared" si="0"/>
        <v>1</v>
      </c>
      <c r="I12" s="1">
        <v>23</v>
      </c>
      <c r="J12" s="2">
        <v>6.9954832605975525</v>
      </c>
      <c r="L12" s="5">
        <v>7.7934968718527795</v>
      </c>
      <c r="M12">
        <v>6</v>
      </c>
      <c r="N12" s="6">
        <v>0.4</v>
      </c>
      <c r="R12" s="22" t="s">
        <v>44</v>
      </c>
      <c r="S12" s="22" t="s">
        <v>50</v>
      </c>
      <c r="T12" s="22" t="s">
        <v>49</v>
      </c>
      <c r="U12" s="22" t="s">
        <v>48</v>
      </c>
      <c r="V12" s="22" t="s">
        <v>46</v>
      </c>
      <c r="W12" s="22" t="s">
        <v>47</v>
      </c>
      <c r="X12" s="22" t="s">
        <v>52</v>
      </c>
      <c r="Y12" s="22" t="s">
        <v>51</v>
      </c>
      <c r="Z12" s="22" t="s">
        <v>56</v>
      </c>
      <c r="AA12" s="22" t="s">
        <v>58</v>
      </c>
      <c r="AB12" s="4"/>
      <c r="AD12" s="1" t="s">
        <v>45</v>
      </c>
      <c r="AE12" s="22" t="s">
        <v>57</v>
      </c>
      <c r="AF12" s="1" t="s">
        <v>27</v>
      </c>
    </row>
    <row r="13" spans="1:32" x14ac:dyDescent="0.2">
      <c r="A13" s="1">
        <v>12</v>
      </c>
      <c r="B13" s="2">
        <v>6.7402264473403122</v>
      </c>
      <c r="C13" s="2">
        <v>120.69237342448194</v>
      </c>
      <c r="E13" s="1">
        <v>4</v>
      </c>
      <c r="F13" s="2">
        <v>105.34308908352916</v>
      </c>
      <c r="G13" s="1">
        <f t="shared" si="0"/>
        <v>1</v>
      </c>
      <c r="I13" s="1">
        <v>21</v>
      </c>
      <c r="J13" s="2">
        <v>7.144901882992035</v>
      </c>
      <c r="L13" s="5">
        <v>10.16149687185278</v>
      </c>
      <c r="M13">
        <v>6</v>
      </c>
      <c r="N13" s="6">
        <v>0.6</v>
      </c>
      <c r="R13" s="1">
        <v>1</v>
      </c>
      <c r="S13" s="2">
        <f>L20</f>
        <v>3.0574968718527789</v>
      </c>
      <c r="T13" s="2">
        <f>M20</f>
        <v>5.4254968718527792</v>
      </c>
      <c r="U13" s="1">
        <f>N20</f>
        <v>6</v>
      </c>
      <c r="V13" s="23" t="s">
        <v>54</v>
      </c>
      <c r="W13" s="2">
        <f>(T13-$M$35)/$Q$42</f>
        <v>-1.058365703776208</v>
      </c>
      <c r="X13" s="1">
        <v>-0.5</v>
      </c>
      <c r="Y13" s="1">
        <f>X14</f>
        <v>-0.35539999999999999</v>
      </c>
      <c r="Z13" s="4">
        <f>Y13-X13</f>
        <v>0.14460000000000001</v>
      </c>
      <c r="AA13" s="4">
        <f>Z13*30</f>
        <v>4.3380000000000001</v>
      </c>
      <c r="AB13" s="4">
        <f>(U13-AA13)^2 /AA13</f>
        <v>0.63675518672199172</v>
      </c>
      <c r="AD13" s="1">
        <v>6</v>
      </c>
      <c r="AE13" s="2">
        <v>4.3380000000000001</v>
      </c>
      <c r="AF13" s="2">
        <f>N28</f>
        <v>4.241496871852779</v>
      </c>
    </row>
    <row r="14" spans="1:32" x14ac:dyDescent="0.2">
      <c r="A14" s="1">
        <v>13</v>
      </c>
      <c r="B14" s="2">
        <v>12.32181768242439</v>
      </c>
      <c r="C14" s="2">
        <v>110.48667867061373</v>
      </c>
      <c r="E14" s="1">
        <v>20</v>
      </c>
      <c r="F14" s="2">
        <v>105.92812891018403</v>
      </c>
      <c r="G14" s="1">
        <f t="shared" si="0"/>
        <v>1</v>
      </c>
      <c r="I14" s="1">
        <v>11</v>
      </c>
      <c r="J14" s="2">
        <v>7.8659932248908966</v>
      </c>
      <c r="L14" s="5">
        <v>12.52949687185278</v>
      </c>
      <c r="M14">
        <v>5</v>
      </c>
      <c r="N14" s="6">
        <v>0.76666666666666672</v>
      </c>
      <c r="R14" s="1">
        <v>2</v>
      </c>
      <c r="S14" s="2">
        <f t="shared" ref="S14:S17" si="2">L21</f>
        <v>5.4254968718527792</v>
      </c>
      <c r="T14" s="2">
        <f t="shared" ref="T14:T17" si="3">M21</f>
        <v>7.7934968718527795</v>
      </c>
      <c r="U14" s="1">
        <f t="shared" ref="U14:U17" si="4">N21</f>
        <v>6</v>
      </c>
      <c r="V14" s="2">
        <f t="shared" ref="V14:V17" si="5">(S14-$M$35)/$Q$42</f>
        <v>-1.058365703776208</v>
      </c>
      <c r="W14" s="2">
        <f t="shared" ref="W14:W16" si="6">(T14-$M$35)/$Q$42</f>
        <v>-0.36814937887237587</v>
      </c>
      <c r="X14" s="1">
        <v>-0.35539999999999999</v>
      </c>
      <c r="Y14" s="1">
        <f>X15</f>
        <v>-0.14430000000000001</v>
      </c>
      <c r="Z14" s="4">
        <f t="shared" ref="Z14:Z17" si="7">Y14-X14</f>
        <v>0.21109999999999998</v>
      </c>
      <c r="AA14" s="4">
        <f t="shared" ref="AA14:AA17" si="8">Z14*30</f>
        <v>6.3329999999999993</v>
      </c>
      <c r="AB14" s="4">
        <f t="shared" ref="AB14:AB17" si="9">(U14-AA14)^2 /AA14</f>
        <v>1.7509711037422951E-2</v>
      </c>
      <c r="AD14" s="1">
        <v>6</v>
      </c>
      <c r="AE14" s="2">
        <v>6.3329999999999993</v>
      </c>
      <c r="AF14" s="2">
        <f t="shared" ref="AF14:AF17" si="10">N29</f>
        <v>6.6094968718527793</v>
      </c>
    </row>
    <row r="15" spans="1:32" x14ac:dyDescent="0.2">
      <c r="A15" s="1">
        <v>14</v>
      </c>
      <c r="B15" s="2">
        <v>8.3406170842616056</v>
      </c>
      <c r="C15" s="2">
        <v>119.67610705893125</v>
      </c>
      <c r="E15" s="1">
        <v>3</v>
      </c>
      <c r="F15" s="2">
        <v>106.29160435804314</v>
      </c>
      <c r="G15" s="1">
        <f t="shared" si="0"/>
        <v>1</v>
      </c>
      <c r="I15" s="1">
        <v>14</v>
      </c>
      <c r="J15" s="2">
        <v>8.3406170842616056</v>
      </c>
      <c r="L15" s="5">
        <v>14.89849687185278</v>
      </c>
      <c r="M15">
        <v>7</v>
      </c>
      <c r="N15" s="6">
        <v>1</v>
      </c>
      <c r="R15" s="1">
        <v>3</v>
      </c>
      <c r="S15" s="2">
        <f t="shared" si="2"/>
        <v>7.7934968718527795</v>
      </c>
      <c r="T15" s="2">
        <f t="shared" si="3"/>
        <v>10.16149687185278</v>
      </c>
      <c r="U15" s="1">
        <f t="shared" si="4"/>
        <v>6</v>
      </c>
      <c r="V15" s="2">
        <f t="shared" si="5"/>
        <v>-0.36814937887237587</v>
      </c>
      <c r="W15" s="2">
        <f t="shared" si="6"/>
        <v>0.32206694603145619</v>
      </c>
      <c r="X15" s="1">
        <v>-0.14430000000000001</v>
      </c>
      <c r="Y15" s="1">
        <f t="shared" ref="Y15:Y16" si="11">X16</f>
        <v>0.1255</v>
      </c>
      <c r="Z15" s="4">
        <f t="shared" si="7"/>
        <v>0.26980000000000004</v>
      </c>
      <c r="AA15" s="4">
        <f t="shared" si="8"/>
        <v>8.0940000000000012</v>
      </c>
      <c r="AB15" s="4">
        <f t="shared" si="9"/>
        <v>0.54173906597479671</v>
      </c>
      <c r="AD15" s="1">
        <v>6</v>
      </c>
      <c r="AE15" s="2">
        <v>8.0940000000000012</v>
      </c>
      <c r="AF15" s="2">
        <f t="shared" si="10"/>
        <v>8.9774968718527788</v>
      </c>
    </row>
    <row r="16" spans="1:32" ht="16" thickBot="1" x14ac:dyDescent="0.25">
      <c r="A16" s="1">
        <v>15</v>
      </c>
      <c r="B16" s="2">
        <v>13.862880336924345</v>
      </c>
      <c r="C16" s="2">
        <v>104.10983611560411</v>
      </c>
      <c r="E16" s="1">
        <v>16</v>
      </c>
      <c r="F16" s="2">
        <v>106.64226203192236</v>
      </c>
      <c r="G16" s="1">
        <f t="shared" si="0"/>
        <v>1</v>
      </c>
      <c r="I16" s="1">
        <v>29</v>
      </c>
      <c r="J16" s="2">
        <v>8.6138187810907318</v>
      </c>
      <c r="L16" s="7" t="s">
        <v>11</v>
      </c>
      <c r="M16" s="7">
        <v>0</v>
      </c>
      <c r="N16" s="8">
        <v>1</v>
      </c>
      <c r="R16" s="1">
        <v>4</v>
      </c>
      <c r="S16" s="2">
        <f t="shared" si="2"/>
        <v>10.16149687185278</v>
      </c>
      <c r="T16" s="2">
        <f t="shared" si="3"/>
        <v>12.52949687185278</v>
      </c>
      <c r="U16" s="1">
        <f t="shared" si="4"/>
        <v>5</v>
      </c>
      <c r="V16" s="2">
        <f t="shared" si="5"/>
        <v>0.32206694603145619</v>
      </c>
      <c r="W16" s="2">
        <f t="shared" si="6"/>
        <v>1.0122832709352882</v>
      </c>
      <c r="X16" s="1">
        <v>0.1255</v>
      </c>
      <c r="Y16" s="1">
        <f t="shared" si="11"/>
        <v>0.34379999999999999</v>
      </c>
      <c r="Z16" s="4">
        <f t="shared" si="7"/>
        <v>0.21829999999999999</v>
      </c>
      <c r="AA16" s="4">
        <f t="shared" si="8"/>
        <v>6.5489999999999995</v>
      </c>
      <c r="AB16" s="4">
        <f t="shared" si="9"/>
        <v>0.36637669873263073</v>
      </c>
      <c r="AD16" s="1">
        <v>5</v>
      </c>
      <c r="AE16" s="2">
        <v>6.5489999999999995</v>
      </c>
      <c r="AF16" s="2">
        <f t="shared" si="10"/>
        <v>11.345496871852781</v>
      </c>
    </row>
    <row r="17" spans="1:32" x14ac:dyDescent="0.2">
      <c r="A17" s="1">
        <v>16</v>
      </c>
      <c r="B17" s="2">
        <v>10.951414532914214</v>
      </c>
      <c r="C17" s="2">
        <v>106.64226203192236</v>
      </c>
      <c r="E17" s="1">
        <v>6</v>
      </c>
      <c r="F17" s="2">
        <v>106.74205755790886</v>
      </c>
      <c r="G17" s="1">
        <f t="shared" si="0"/>
        <v>1</v>
      </c>
      <c r="I17" s="1">
        <v>27</v>
      </c>
      <c r="J17" s="2">
        <v>8.8258613849299614</v>
      </c>
      <c r="L17" s="5"/>
      <c r="N17" s="6"/>
      <c r="R17" s="1">
        <v>5</v>
      </c>
      <c r="S17" s="2">
        <f t="shared" si="2"/>
        <v>12.52949687185278</v>
      </c>
      <c r="T17" s="2">
        <f t="shared" si="3"/>
        <v>14.89849687185278</v>
      </c>
      <c r="U17" s="1">
        <f t="shared" si="4"/>
        <v>7</v>
      </c>
      <c r="V17" s="2">
        <f t="shared" si="5"/>
        <v>1.0122832709352882</v>
      </c>
      <c r="W17" s="23" t="s">
        <v>55</v>
      </c>
      <c r="X17" s="1">
        <v>0.34379999999999999</v>
      </c>
      <c r="Y17" s="1">
        <v>0.5</v>
      </c>
      <c r="Z17" s="4">
        <f t="shared" si="7"/>
        <v>0.15620000000000001</v>
      </c>
      <c r="AA17" s="4">
        <f t="shared" si="8"/>
        <v>4.6859999999999999</v>
      </c>
      <c r="AB17" s="4">
        <f t="shared" si="9"/>
        <v>1.1426794707639778</v>
      </c>
      <c r="AD17" s="1">
        <v>7</v>
      </c>
      <c r="AE17" s="2">
        <v>4.6859999999999999</v>
      </c>
      <c r="AF17" s="2">
        <f t="shared" si="10"/>
        <v>13.71399687185278</v>
      </c>
    </row>
    <row r="18" spans="1:32" x14ac:dyDescent="0.2">
      <c r="A18" s="1">
        <v>17</v>
      </c>
      <c r="B18" s="2">
        <v>13.543900875881222</v>
      </c>
      <c r="C18" s="2">
        <v>91.017395550401318</v>
      </c>
      <c r="E18" s="1">
        <v>21</v>
      </c>
      <c r="F18" s="2">
        <v>106.83178197576831</v>
      </c>
      <c r="G18" s="1">
        <f t="shared" si="0"/>
        <v>1</v>
      </c>
      <c r="I18" s="1">
        <v>26</v>
      </c>
      <c r="J18" s="2">
        <v>9.5103305154576248</v>
      </c>
      <c r="R18" s="4" t="s">
        <v>53</v>
      </c>
      <c r="S18" s="4" t="s">
        <v>33</v>
      </c>
      <c r="T18" s="4" t="s">
        <v>33</v>
      </c>
      <c r="U18" s="1">
        <f>SUM(U13:U17)</f>
        <v>30</v>
      </c>
      <c r="V18" s="1" t="s">
        <v>33</v>
      </c>
      <c r="W18" s="1" t="s">
        <v>33</v>
      </c>
      <c r="X18" s="1" t="s">
        <v>33</v>
      </c>
      <c r="Y18" s="1" t="s">
        <v>33</v>
      </c>
      <c r="Z18" s="1">
        <f t="shared" ref="Z18:AB18" si="12">SUM(Z13:Z17)</f>
        <v>1</v>
      </c>
      <c r="AA18" s="1">
        <f t="shared" si="12"/>
        <v>30</v>
      </c>
      <c r="AB18" s="1">
        <f t="shared" si="12"/>
        <v>2.7050601332308197</v>
      </c>
    </row>
    <row r="19" spans="1:32" x14ac:dyDescent="0.2">
      <c r="A19" s="1">
        <v>18</v>
      </c>
      <c r="B19" s="2">
        <v>9.7245704519791243</v>
      </c>
      <c r="C19" s="2">
        <v>118.53715628528703</v>
      </c>
      <c r="E19" s="1">
        <v>2</v>
      </c>
      <c r="F19" s="2">
        <v>108.84142582476272</v>
      </c>
      <c r="G19" s="1">
        <f t="shared" si="0"/>
        <v>1</v>
      </c>
      <c r="I19" s="1">
        <v>18</v>
      </c>
      <c r="J19" s="2">
        <v>9.7245704519791243</v>
      </c>
      <c r="L19" s="37" t="s">
        <v>12</v>
      </c>
      <c r="M19" s="37"/>
      <c r="N19" s="1" t="s">
        <v>9</v>
      </c>
      <c r="O19" s="1" t="s">
        <v>13</v>
      </c>
    </row>
    <row r="20" spans="1:32" x14ac:dyDescent="0.2">
      <c r="A20" s="1">
        <v>19</v>
      </c>
      <c r="B20" s="2">
        <v>10.710074159978026</v>
      </c>
      <c r="C20" s="2">
        <v>119.34650715659048</v>
      </c>
      <c r="E20" s="1">
        <v>24</v>
      </c>
      <c r="F20" s="2">
        <v>109.99502548295541</v>
      </c>
      <c r="G20" s="1">
        <f t="shared" si="0"/>
        <v>1</v>
      </c>
      <c r="I20" s="1">
        <v>19</v>
      </c>
      <c r="J20" s="2">
        <v>10.710074159978026</v>
      </c>
      <c r="L20" s="2">
        <f>L2</f>
        <v>3.0574968718527789</v>
      </c>
      <c r="M20" s="2">
        <f>L2+O2</f>
        <v>5.4254968718527792</v>
      </c>
      <c r="N20" s="1">
        <f t="array" ref="N20:N24">FREQUENCY(J2:J31,M20:M24)</f>
        <v>6</v>
      </c>
      <c r="O20" s="12">
        <f>N11</f>
        <v>0.2</v>
      </c>
      <c r="R20" s="11"/>
    </row>
    <row r="21" spans="1:32" x14ac:dyDescent="0.2">
      <c r="A21" s="1">
        <v>20</v>
      </c>
      <c r="B21" s="2">
        <v>4.9695425275429548</v>
      </c>
      <c r="C21" s="2">
        <v>105.92812891018403</v>
      </c>
      <c r="E21" s="1">
        <v>13</v>
      </c>
      <c r="F21" s="2">
        <v>110.48667867061373</v>
      </c>
      <c r="G21" s="1">
        <f t="shared" si="0"/>
        <v>1</v>
      </c>
      <c r="I21" s="1">
        <v>16</v>
      </c>
      <c r="J21" s="2">
        <v>10.951414532914214</v>
      </c>
      <c r="L21" s="2">
        <f>M20</f>
        <v>5.4254968718527792</v>
      </c>
      <c r="M21" s="2">
        <f>L21+$O$2</f>
        <v>7.7934968718527795</v>
      </c>
      <c r="N21" s="1">
        <v>6</v>
      </c>
      <c r="O21" s="12">
        <f>N12</f>
        <v>0.4</v>
      </c>
    </row>
    <row r="22" spans="1:32" x14ac:dyDescent="0.2">
      <c r="A22" s="1">
        <v>21</v>
      </c>
      <c r="B22" s="2">
        <v>7.144901882992035</v>
      </c>
      <c r="C22" s="2">
        <v>106.83178197576831</v>
      </c>
      <c r="E22" s="1">
        <v>23</v>
      </c>
      <c r="F22" s="2">
        <v>111.34638508255257</v>
      </c>
      <c r="G22" s="1">
        <f t="shared" si="0"/>
        <v>1</v>
      </c>
      <c r="I22" s="1">
        <v>3</v>
      </c>
      <c r="J22" s="2">
        <v>11.048829615161596</v>
      </c>
      <c r="L22" s="2">
        <f t="shared" ref="L22:L24" si="13">M21</f>
        <v>7.7934968718527795</v>
      </c>
      <c r="M22" s="2">
        <f t="shared" ref="M22:M23" si="14">L22+$O$2</f>
        <v>10.16149687185278</v>
      </c>
      <c r="N22" s="1">
        <v>6</v>
      </c>
      <c r="O22" s="12">
        <f>N13</f>
        <v>0.6</v>
      </c>
    </row>
    <row r="23" spans="1:32" x14ac:dyDescent="0.2">
      <c r="A23" s="1">
        <v>22</v>
      </c>
      <c r="B23" s="2">
        <v>13.946012756736963</v>
      </c>
      <c r="C23" s="2">
        <v>94.126621295815909</v>
      </c>
      <c r="E23" s="1">
        <v>29</v>
      </c>
      <c r="F23" s="2">
        <v>112.90191351054415</v>
      </c>
      <c r="G23" s="1">
        <f t="shared" si="0"/>
        <v>1</v>
      </c>
      <c r="I23" s="1">
        <v>13</v>
      </c>
      <c r="J23" s="2">
        <v>12.32181768242439</v>
      </c>
      <c r="L23" s="2">
        <f t="shared" si="13"/>
        <v>10.16149687185278</v>
      </c>
      <c r="M23" s="2">
        <f t="shared" si="14"/>
        <v>12.52949687185278</v>
      </c>
      <c r="N23" s="1">
        <v>5</v>
      </c>
      <c r="O23" s="12">
        <f>N14</f>
        <v>0.76666666666666672</v>
      </c>
    </row>
    <row r="24" spans="1:32" x14ac:dyDescent="0.2">
      <c r="A24" s="1">
        <v>23</v>
      </c>
      <c r="B24" s="2">
        <v>6.9954832605975525</v>
      </c>
      <c r="C24" s="2">
        <v>111.34638508255257</v>
      </c>
      <c r="E24" s="1">
        <v>28</v>
      </c>
      <c r="F24" s="2">
        <v>115.19995727408673</v>
      </c>
      <c r="G24" s="1">
        <f t="shared" si="0"/>
        <v>1</v>
      </c>
      <c r="I24" s="1">
        <v>28</v>
      </c>
      <c r="J24" s="2">
        <v>12.433881649220252</v>
      </c>
      <c r="L24" s="2">
        <f t="shared" si="13"/>
        <v>12.52949687185278</v>
      </c>
      <c r="M24" s="2">
        <f>L24+$O$2+0.001</f>
        <v>14.89849687185278</v>
      </c>
      <c r="N24" s="1">
        <v>7</v>
      </c>
      <c r="O24" s="12">
        <f>N15</f>
        <v>1</v>
      </c>
    </row>
    <row r="25" spans="1:32" x14ac:dyDescent="0.2">
      <c r="A25" s="1">
        <v>24</v>
      </c>
      <c r="B25" s="2">
        <v>13.193792535172582</v>
      </c>
      <c r="C25" s="2">
        <v>109.99502548295541</v>
      </c>
      <c r="E25" s="1">
        <v>11</v>
      </c>
      <c r="F25" s="2">
        <v>115.75112155522325</v>
      </c>
      <c r="G25" s="1">
        <f t="shared" si="0"/>
        <v>1</v>
      </c>
      <c r="I25" s="1">
        <v>24</v>
      </c>
      <c r="J25" s="2">
        <v>13.193792535172582</v>
      </c>
    </row>
    <row r="26" spans="1:32" x14ac:dyDescent="0.2">
      <c r="A26" s="1">
        <v>25</v>
      </c>
      <c r="B26" s="2">
        <v>3.4423963133640552</v>
      </c>
      <c r="C26" s="2">
        <v>105.26160466322824</v>
      </c>
      <c r="E26" s="1">
        <v>7</v>
      </c>
      <c r="F26" s="2">
        <v>116.64012573625904</v>
      </c>
      <c r="G26" s="1">
        <f t="shared" si="0"/>
        <v>1</v>
      </c>
      <c r="I26" s="1">
        <v>17</v>
      </c>
      <c r="J26" s="2">
        <v>13.543900875881222</v>
      </c>
    </row>
    <row r="27" spans="1:32" ht="40.5" customHeight="1" x14ac:dyDescent="0.2">
      <c r="A27" s="1">
        <v>26</v>
      </c>
      <c r="B27" s="2">
        <v>9.5103305154576248</v>
      </c>
      <c r="C27" s="2">
        <v>94.424176763206887</v>
      </c>
      <c r="E27" s="1">
        <v>18</v>
      </c>
      <c r="F27" s="2">
        <v>118.53715628528703</v>
      </c>
      <c r="G27" s="1">
        <f t="shared" si="0"/>
        <v>1</v>
      </c>
      <c r="I27" s="1">
        <v>8</v>
      </c>
      <c r="J27" s="2">
        <v>13.623371074556719</v>
      </c>
      <c r="L27" s="38" t="s">
        <v>12</v>
      </c>
      <c r="M27" s="38"/>
      <c r="N27" s="14" t="s">
        <v>27</v>
      </c>
      <c r="O27" s="14" t="s">
        <v>32</v>
      </c>
      <c r="P27" s="14" t="s">
        <v>28</v>
      </c>
      <c r="Q27" s="14" t="s">
        <v>29</v>
      </c>
      <c r="R27" s="16" t="s">
        <v>30</v>
      </c>
      <c r="S27" s="15" t="s">
        <v>31</v>
      </c>
      <c r="T27" s="15" t="s">
        <v>39</v>
      </c>
      <c r="U27" s="15" t="s">
        <v>40</v>
      </c>
    </row>
    <row r="28" spans="1:32" x14ac:dyDescent="0.2">
      <c r="A28" s="1">
        <v>27</v>
      </c>
      <c r="B28" s="2">
        <v>8.8258613849299614</v>
      </c>
      <c r="C28" s="2">
        <v>101.25330362865077</v>
      </c>
      <c r="E28" s="1">
        <v>9</v>
      </c>
      <c r="F28" s="2">
        <v>118.68730735190893</v>
      </c>
      <c r="G28" s="1">
        <f t="shared" si="0"/>
        <v>1</v>
      </c>
      <c r="I28" s="1">
        <v>9</v>
      </c>
      <c r="J28" s="2">
        <v>13.697714163640248</v>
      </c>
      <c r="L28" s="2">
        <v>3.0574968718527789</v>
      </c>
      <c r="M28" s="2">
        <v>5.4254968718527792</v>
      </c>
      <c r="N28" s="2">
        <f>AVERAGE(L28,M28)</f>
        <v>4.241496871852779</v>
      </c>
      <c r="O28" s="1">
        <f>N20</f>
        <v>6</v>
      </c>
      <c r="P28" s="2">
        <f>N28*O28</f>
        <v>25.448981231116676</v>
      </c>
      <c r="Q28" s="1">
        <f>O28</f>
        <v>6</v>
      </c>
      <c r="R28" s="2">
        <f>ABS(N28-$M$35)*O28</f>
        <v>28.890300000000011</v>
      </c>
      <c r="S28" s="17">
        <f>(N28-$M$35)^2 *O28</f>
        <v>139.10823901500012</v>
      </c>
      <c r="T28">
        <f>(N28-$M$35)^3*O28</f>
        <v>-669.81312626917656</v>
      </c>
      <c r="U28">
        <f>(N28-$M$35)^4 *O28</f>
        <v>3225.1836936424002</v>
      </c>
      <c r="V28" s="5">
        <f>T33/30</f>
        <v>0.31428450429395222</v>
      </c>
      <c r="W28" s="5">
        <f>Q42^3</f>
        <v>40.382147736020983</v>
      </c>
      <c r="X28" s="5">
        <f>(V28/W28)*100</f>
        <v>0.77827585186512904</v>
      </c>
      <c r="Y28" s="5"/>
    </row>
    <row r="29" spans="1:32" x14ac:dyDescent="0.2">
      <c r="A29" s="1">
        <v>28</v>
      </c>
      <c r="B29" s="2">
        <v>12.433881649220252</v>
      </c>
      <c r="C29" s="2">
        <v>115.19995727408673</v>
      </c>
      <c r="E29" s="1">
        <v>19</v>
      </c>
      <c r="F29" s="2">
        <v>119.34650715659048</v>
      </c>
      <c r="G29" s="1">
        <f t="shared" si="0"/>
        <v>1</v>
      </c>
      <c r="I29" s="1">
        <v>15</v>
      </c>
      <c r="J29" s="2">
        <v>13.862880336924345</v>
      </c>
      <c r="L29" s="2">
        <v>5.4254968718527792</v>
      </c>
      <c r="M29" s="2">
        <v>7.7934968718527795</v>
      </c>
      <c r="N29" s="2">
        <f t="shared" ref="N29:N32" si="15">AVERAGE(L29,M29)</f>
        <v>6.6094968718527793</v>
      </c>
      <c r="O29" s="1">
        <f t="shared" ref="O29:O32" si="16">N21</f>
        <v>6</v>
      </c>
      <c r="P29" s="2">
        <f t="shared" ref="P29:P32" si="17">N29*O29</f>
        <v>39.656981231116674</v>
      </c>
      <c r="Q29" s="1">
        <f>Q28+O29</f>
        <v>12</v>
      </c>
      <c r="R29" s="2">
        <f t="shared" ref="R29:R32" si="18">ABS(N29-$M$35)*O29</f>
        <v>14.68230000000001</v>
      </c>
      <c r="S29" s="17">
        <f t="shared" ref="S29:S32" si="19">(N29-$M$35)^2 *O29</f>
        <v>35.928322215000051</v>
      </c>
      <c r="T29">
        <f t="shared" ref="T29:T32" si="20">(N29-$M$35)^3*O29</f>
        <v>-87.918400876215941</v>
      </c>
      <c r="U29">
        <f t="shared" ref="U29:U32" si="21">(N29-$M$35)^4 *O29</f>
        <v>215.14072286414432</v>
      </c>
      <c r="V29">
        <f>U33/30</f>
        <v>229.04423900590422</v>
      </c>
      <c r="W29" s="5">
        <f>Q42^4</f>
        <v>138.54341369312169</v>
      </c>
      <c r="X29" s="5">
        <f>((V29/W29)-3)</f>
        <v>-1.3467691974643783</v>
      </c>
    </row>
    <row r="30" spans="1:32" x14ac:dyDescent="0.2">
      <c r="A30" s="1">
        <v>29</v>
      </c>
      <c r="B30" s="2">
        <v>8.6138187810907318</v>
      </c>
      <c r="C30" s="2">
        <v>112.90191351054415</v>
      </c>
      <c r="E30" s="1">
        <v>14</v>
      </c>
      <c r="F30" s="2">
        <v>119.67610705893125</v>
      </c>
      <c r="G30" s="1">
        <f t="shared" si="0"/>
        <v>1</v>
      </c>
      <c r="I30" s="1">
        <v>22</v>
      </c>
      <c r="J30" s="2">
        <v>13.946012756736963</v>
      </c>
      <c r="L30" s="2">
        <v>7.7934968718527795</v>
      </c>
      <c r="M30" s="2">
        <v>10.16149687185278</v>
      </c>
      <c r="N30" s="2">
        <f t="shared" si="15"/>
        <v>8.9774968718527788</v>
      </c>
      <c r="O30" s="1">
        <f t="shared" si="16"/>
        <v>6</v>
      </c>
      <c r="P30" s="2">
        <f t="shared" si="17"/>
        <v>53.864981231116673</v>
      </c>
      <c r="Q30" s="1">
        <f t="shared" ref="Q30:Q32" si="22">Q29+O30</f>
        <v>18</v>
      </c>
      <c r="R30" s="2">
        <f t="shared" si="18"/>
        <v>0.47430000000001371</v>
      </c>
      <c r="S30" s="17">
        <f t="shared" si="19"/>
        <v>3.7493415000002167E-2</v>
      </c>
      <c r="T30">
        <f t="shared" si="20"/>
        <v>-2.9638544557502571E-3</v>
      </c>
      <c r="U30">
        <f t="shared" si="21"/>
        <v>2.342926947270646E-4</v>
      </c>
    </row>
    <row r="31" spans="1:32" x14ac:dyDescent="0.2">
      <c r="A31" s="1">
        <v>30</v>
      </c>
      <c r="B31" s="2">
        <v>6.0663777581102938</v>
      </c>
      <c r="C31" s="2">
        <v>97.667073580126342</v>
      </c>
      <c r="E31" s="1">
        <v>12</v>
      </c>
      <c r="F31" s="2">
        <v>120.69237342448194</v>
      </c>
      <c r="G31" s="1">
        <f t="shared" si="0"/>
        <v>1</v>
      </c>
      <c r="I31" s="1">
        <v>10</v>
      </c>
      <c r="J31" s="2">
        <v>14.897824030274361</v>
      </c>
      <c r="L31" s="2">
        <v>10.16149687185278</v>
      </c>
      <c r="M31" s="2">
        <v>12.52949687185278</v>
      </c>
      <c r="N31" s="2">
        <f>AVERAGE(L31,M31)</f>
        <v>11.345496871852781</v>
      </c>
      <c r="O31" s="1">
        <f t="shared" si="16"/>
        <v>5</v>
      </c>
      <c r="P31" s="2">
        <f t="shared" si="17"/>
        <v>56.727484359263904</v>
      </c>
      <c r="Q31" s="1">
        <f t="shared" si="22"/>
        <v>23</v>
      </c>
      <c r="R31" s="2">
        <f t="shared" si="18"/>
        <v>11.444749999999999</v>
      </c>
      <c r="S31" s="17">
        <f t="shared" si="19"/>
        <v>26.196460512499996</v>
      </c>
      <c r="T31">
        <f t="shared" si="20"/>
        <v>59.962388290086864</v>
      </c>
      <c r="U31">
        <f t="shared" si="21"/>
        <v>137.25090867659432</v>
      </c>
    </row>
    <row r="32" spans="1:32" x14ac:dyDescent="0.2">
      <c r="L32" s="2">
        <v>12.52949687185278</v>
      </c>
      <c r="M32" s="2">
        <v>14.89849687185278</v>
      </c>
      <c r="N32" s="2">
        <f t="shared" si="15"/>
        <v>13.71399687185278</v>
      </c>
      <c r="O32" s="1">
        <f t="shared" si="16"/>
        <v>7</v>
      </c>
      <c r="P32" s="2">
        <f t="shared" si="17"/>
        <v>95.997978102969455</v>
      </c>
      <c r="Q32" s="1">
        <f t="shared" si="22"/>
        <v>30</v>
      </c>
      <c r="R32" s="2">
        <f t="shared" si="18"/>
        <v>32.602149999999995</v>
      </c>
      <c r="S32" s="17">
        <f t="shared" si="19"/>
        <v>151.84288351749993</v>
      </c>
      <c r="T32">
        <f t="shared" si="20"/>
        <v>707.20063783857995</v>
      </c>
      <c r="U32">
        <f t="shared" si="21"/>
        <v>3293.751610701293</v>
      </c>
    </row>
    <row r="33" spans="4:27" x14ac:dyDescent="0.2">
      <c r="L33" s="4" t="s">
        <v>24</v>
      </c>
      <c r="M33" s="4"/>
      <c r="N33" s="1" t="s">
        <v>33</v>
      </c>
      <c r="O33" s="1">
        <f>SUM(O28:O32)</f>
        <v>30</v>
      </c>
      <c r="P33" s="2">
        <f>SUM(P28:P32)</f>
        <v>271.69640615558342</v>
      </c>
      <c r="Q33" s="2" t="s">
        <v>33</v>
      </c>
      <c r="R33" s="2">
        <f t="shared" ref="R33:U33" si="23">SUM(R28:R32)</f>
        <v>88.09380000000003</v>
      </c>
      <c r="S33" s="2">
        <f t="shared" si="23"/>
        <v>353.1133986750001</v>
      </c>
      <c r="T33" s="2">
        <f t="shared" si="23"/>
        <v>9.4285351288185666</v>
      </c>
      <c r="U33" s="2">
        <f t="shared" si="23"/>
        <v>6871.3271701771264</v>
      </c>
    </row>
    <row r="35" spans="4:27" x14ac:dyDescent="0.2">
      <c r="L35" t="s">
        <v>14</v>
      </c>
      <c r="M35" s="5">
        <f>P33/O33</f>
        <v>9.0565468718527811</v>
      </c>
      <c r="N35" s="5">
        <f>M32-L32</f>
        <v>2.3689999999999998</v>
      </c>
    </row>
    <row r="36" spans="4:27" x14ac:dyDescent="0.2">
      <c r="L36" t="s">
        <v>17</v>
      </c>
      <c r="M36" s="5">
        <f>L32+(M32-L32)*((7-5)/((7-5)+7))</f>
        <v>13.055941316297224</v>
      </c>
    </row>
    <row r="37" spans="4:27" x14ac:dyDescent="0.2">
      <c r="L37" t="s">
        <v>16</v>
      </c>
      <c r="M37" s="5">
        <f xml:space="preserve"> L30 + 2.37*((15-12)/(6))</f>
        <v>8.97849687185278</v>
      </c>
      <c r="P37" s="5">
        <f>M30-L30</f>
        <v>2.3680000000000003</v>
      </c>
    </row>
    <row r="38" spans="4:27" x14ac:dyDescent="0.2">
      <c r="U38" s="37" t="s">
        <v>59</v>
      </c>
      <c r="V38" s="37"/>
      <c r="W38" s="37"/>
      <c r="X38" s="37"/>
      <c r="Y38" s="37"/>
      <c r="Z38" s="5">
        <f>M42/SQRT(30)</f>
        <v>1.6187841693011147</v>
      </c>
      <c r="AA38" s="5">
        <f>Q42/SQRT(30)</f>
        <v>0.62637705956556233</v>
      </c>
    </row>
    <row r="39" spans="4:27" x14ac:dyDescent="0.2">
      <c r="D39" s="30" t="s">
        <v>26</v>
      </c>
      <c r="E39" s="30"/>
      <c r="L39" s="39" t="s">
        <v>26</v>
      </c>
      <c r="M39" s="39"/>
      <c r="P39" s="32" t="s">
        <v>43</v>
      </c>
      <c r="Q39" s="32"/>
      <c r="U39" s="33" t="s">
        <v>60</v>
      </c>
      <c r="V39" s="34"/>
      <c r="W39" s="34"/>
      <c r="X39" s="34"/>
      <c r="Y39" s="35"/>
      <c r="Z39" s="5">
        <f>M42/SQRT(2*30)</f>
        <v>1.1446532633902504</v>
      </c>
      <c r="AA39" s="5">
        <f>Q42/SQRT(2*30)</f>
        <v>0.44291546639849916</v>
      </c>
    </row>
    <row r="40" spans="4:27" x14ac:dyDescent="0.2">
      <c r="D40" s="1" t="s">
        <v>14</v>
      </c>
      <c r="E40" s="2">
        <v>106.8639790032655</v>
      </c>
      <c r="L40" s="1" t="s">
        <v>34</v>
      </c>
      <c r="M40" s="2">
        <f>MAX(F2:F31)-MIN(F2:F31)</f>
        <v>29.674977874080625</v>
      </c>
      <c r="P40" t="s">
        <v>34</v>
      </c>
      <c r="Q40" s="5">
        <f>MAX(J2:J31)-MIN(J2:J31)</f>
        <v>11.840327158421582</v>
      </c>
      <c r="U40" s="36" t="s">
        <v>61</v>
      </c>
      <c r="V40" s="36"/>
      <c r="W40" s="36"/>
      <c r="X40" s="36"/>
      <c r="Y40" s="36"/>
      <c r="Z40" s="5">
        <f>M43/SQRT(2*30)</f>
        <v>1.0711310528267646</v>
      </c>
      <c r="AA40" s="5">
        <f>Q43/SQRT(2*30)</f>
        <v>4.8905556683536258</v>
      </c>
    </row>
    <row r="41" spans="4:27" x14ac:dyDescent="0.2">
      <c r="D41" s="1" t="s">
        <v>15</v>
      </c>
      <c r="E41" s="2">
        <v>1.6464576981633254</v>
      </c>
      <c r="L41" s="1" t="s">
        <v>35</v>
      </c>
      <c r="M41" s="2">
        <f>VARP(F2:F31)</f>
        <v>78.613865603396988</v>
      </c>
      <c r="P41" t="s">
        <v>35</v>
      </c>
      <c r="Q41" s="5">
        <f>S33/30</f>
        <v>11.770446622500003</v>
      </c>
    </row>
    <row r="42" spans="4:27" x14ac:dyDescent="0.2">
      <c r="D42" s="1" t="s">
        <v>16</v>
      </c>
      <c r="E42" s="2">
        <v>106.69215979491561</v>
      </c>
      <c r="L42" s="1" t="s">
        <v>36</v>
      </c>
      <c r="M42" s="2">
        <f>STDEVP(F2:F31)</f>
        <v>8.8664460525848234</v>
      </c>
      <c r="P42" s="1" t="s">
        <v>36</v>
      </c>
      <c r="Q42" s="5">
        <f>SQRT(Q41)</f>
        <v>3.430808450278156</v>
      </c>
      <c r="U42" s="31" t="s">
        <v>62</v>
      </c>
      <c r="V42" s="31"/>
      <c r="W42" s="31"/>
      <c r="Y42" s="32" t="s">
        <v>63</v>
      </c>
      <c r="Z42" s="32"/>
      <c r="AA42" s="32"/>
    </row>
    <row r="43" spans="4:27" ht="32" x14ac:dyDescent="0.2">
      <c r="D43" s="1" t="s">
        <v>17</v>
      </c>
      <c r="E43" s="2" t="e">
        <v>#N/A</v>
      </c>
      <c r="L43" s="21" t="s">
        <v>42</v>
      </c>
      <c r="M43" s="2">
        <f>M42/E40 * 100</f>
        <v>8.2969454584073521</v>
      </c>
      <c r="P43" s="21" t="s">
        <v>42</v>
      </c>
      <c r="Q43" s="5">
        <f>Q42/M35 * 100</f>
        <v>37.882081314467754</v>
      </c>
      <c r="U43" s="4">
        <f>E40-1.96*Z38</f>
        <v>103.69116203143531</v>
      </c>
      <c r="V43" s="1" t="s">
        <v>43</v>
      </c>
      <c r="W43" s="4">
        <f>E40+1.96*Z38</f>
        <v>110.03679597509569</v>
      </c>
      <c r="Y43" s="24">
        <f>SQRT(30*Q41/(30-1))*(1-0.28)</f>
        <v>2.5124104778912884</v>
      </c>
      <c r="Z43" t="s">
        <v>43</v>
      </c>
      <c r="AA43" s="24">
        <f>SQRT(30*Q41/(30-1))*(1+0.28)</f>
        <v>4.4665075162511796</v>
      </c>
    </row>
    <row r="44" spans="4:27" ht="32" x14ac:dyDescent="0.2">
      <c r="D44" s="1" t="s">
        <v>18</v>
      </c>
      <c r="E44" s="2">
        <v>9.0180202126208542</v>
      </c>
      <c r="L44" s="21" t="s">
        <v>37</v>
      </c>
      <c r="M44" s="2">
        <f>J49/K49 * 100</f>
        <v>-15.984098513795358</v>
      </c>
      <c r="U44" s="4">
        <f>M35-1.96*AA38</f>
        <v>7.8288478351042787</v>
      </c>
      <c r="V44" s="1" t="s">
        <v>26</v>
      </c>
      <c r="W44" s="4">
        <f>M35+1.96*AA38</f>
        <v>10.284245908601283</v>
      </c>
      <c r="Y44">
        <f>E44*(1-0.28)</f>
        <v>6.4929745530870147</v>
      </c>
      <c r="Z44" t="s">
        <v>26</v>
      </c>
      <c r="AA44" s="24">
        <f>E44*(1+0.28)</f>
        <v>11.543065872154694</v>
      </c>
    </row>
    <row r="45" spans="4:27" ht="16" x14ac:dyDescent="0.2">
      <c r="D45" s="1" t="s">
        <v>19</v>
      </c>
      <c r="E45" s="2">
        <v>81.324688555238268</v>
      </c>
      <c r="L45" s="14" t="s">
        <v>38</v>
      </c>
      <c r="M45" s="2">
        <f>J51/K51 - 3</f>
        <v>-1.0499507219695419</v>
      </c>
    </row>
    <row r="46" spans="4:27" x14ac:dyDescent="0.2">
      <c r="D46" s="1" t="s">
        <v>20</v>
      </c>
      <c r="E46" s="2">
        <v>-1.0183937818129873</v>
      </c>
      <c r="L46" s="11"/>
    </row>
    <row r="47" spans="4:27" x14ac:dyDescent="0.2">
      <c r="D47" s="1" t="s">
        <v>21</v>
      </c>
      <c r="E47" s="2">
        <v>-0.16837970430752336</v>
      </c>
      <c r="L47" s="11"/>
    </row>
    <row r="48" spans="4:27" x14ac:dyDescent="0.2">
      <c r="D48" s="1" t="s">
        <v>12</v>
      </c>
      <c r="E48" s="2">
        <v>29.674977874080625</v>
      </c>
    </row>
    <row r="49" spans="4:11" ht="17" x14ac:dyDescent="0.2">
      <c r="D49" s="1" t="s">
        <v>22</v>
      </c>
      <c r="E49" s="2">
        <v>91.017395550401318</v>
      </c>
      <c r="F49" s="18" t="s">
        <v>31</v>
      </c>
      <c r="G49" s="18" t="s">
        <v>39</v>
      </c>
      <c r="H49" s="18" t="s">
        <v>40</v>
      </c>
      <c r="J49" s="20">
        <f>G80/30</f>
        <v>-111.41325830786204</v>
      </c>
      <c r="K49" s="5">
        <f>M42^3</f>
        <v>697.02559835767318</v>
      </c>
    </row>
    <row r="50" spans="4:11" x14ac:dyDescent="0.2">
      <c r="D50" s="1" t="s">
        <v>23</v>
      </c>
      <c r="E50" s="2">
        <v>120.69237342448194</v>
      </c>
      <c r="F50">
        <f>(F2-$E$40)^2 *G2</f>
        <v>251.11420712858884</v>
      </c>
      <c r="G50" s="4">
        <f>(F2-$E$40)^3 *G2</f>
        <v>-3979.3022394630043</v>
      </c>
      <c r="H50" s="4">
        <f>(F2-$E$40)^4*G2</f>
        <v>63058.34502181982</v>
      </c>
    </row>
    <row r="51" spans="4:11" x14ac:dyDescent="0.2">
      <c r="D51" s="1" t="s">
        <v>24</v>
      </c>
      <c r="E51" s="2">
        <v>3205.9193700979649</v>
      </c>
      <c r="F51">
        <f t="shared" ref="F51:F79" si="24">(F3-$E$40)^2 *G3</f>
        <v>235.46470255058469</v>
      </c>
      <c r="G51" s="4">
        <f t="shared" ref="G51:G79" si="25">(F3-$E$40)^3 *G3</f>
        <v>-3613.1726971021722</v>
      </c>
      <c r="H51" s="4">
        <f t="shared" ref="H51:H79" si="26">(F3-$E$40)^4*G3</f>
        <v>55443.626147235322</v>
      </c>
      <c r="J51">
        <f>H80/30</f>
        <v>12051.577282082993</v>
      </c>
      <c r="K51">
        <f>M42^4</f>
        <v>6180.1398651089667</v>
      </c>
    </row>
    <row r="52" spans="4:11" x14ac:dyDescent="0.2">
      <c r="D52" s="1" t="s">
        <v>25</v>
      </c>
      <c r="E52" s="1">
        <v>30</v>
      </c>
      <c r="F52">
        <f t="shared" si="24"/>
        <v>162.24028136752548</v>
      </c>
      <c r="G52" s="4">
        <f t="shared" si="25"/>
        <v>-2066.5124983354408</v>
      </c>
      <c r="H52" s="4">
        <f t="shared" si="26"/>
        <v>26321.908898213838</v>
      </c>
    </row>
    <row r="53" spans="4:11" x14ac:dyDescent="0.2">
      <c r="F53">
        <f t="shared" si="24"/>
        <v>154.74867977176726</v>
      </c>
      <c r="G53" s="4">
        <f t="shared" si="25"/>
        <v>-1925.0429732709431</v>
      </c>
      <c r="H53" s="4">
        <f t="shared" si="26"/>
        <v>23947.153891104968</v>
      </c>
      <c r="J53" s="5"/>
    </row>
    <row r="54" spans="4:11" x14ac:dyDescent="0.2">
      <c r="F54">
        <f t="shared" si="24"/>
        <v>146.03675449612197</v>
      </c>
      <c r="G54" s="4">
        <f t="shared" si="25"/>
        <v>-1764.7909134678778</v>
      </c>
      <c r="H54" s="4">
        <f t="shared" si="26"/>
        <v>21326.733663760602</v>
      </c>
    </row>
    <row r="55" spans="4:11" x14ac:dyDescent="0.2">
      <c r="F55">
        <f t="shared" si="24"/>
        <v>110.57163992656665</v>
      </c>
      <c r="G55" s="4">
        <f t="shared" si="25"/>
        <v>-1162.6945217718503</v>
      </c>
      <c r="H55" s="4">
        <f t="shared" si="26"/>
        <v>12226.087556050308</v>
      </c>
    </row>
    <row r="56" spans="4:11" x14ac:dyDescent="0.2">
      <c r="F56">
        <f t="shared" si="24"/>
        <v>84.583069362166427</v>
      </c>
      <c r="G56" s="4">
        <f t="shared" si="25"/>
        <v>-777.90248932266388</v>
      </c>
      <c r="H56" s="4">
        <f t="shared" si="26"/>
        <v>7154.295622725057</v>
      </c>
    </row>
    <row r="57" spans="4:11" x14ac:dyDescent="0.2">
      <c r="F57">
        <f t="shared" si="24"/>
        <v>53.770467147757138</v>
      </c>
      <c r="G57" s="4">
        <f t="shared" si="25"/>
        <v>-394.28995617320413</v>
      </c>
      <c r="H57" s="4">
        <f t="shared" si="26"/>
        <v>2891.2631372880296</v>
      </c>
    </row>
    <row r="58" spans="4:11" x14ac:dyDescent="0.2">
      <c r="F58">
        <f t="shared" si="24"/>
        <v>31.479678159308129</v>
      </c>
      <c r="G58" s="4">
        <f t="shared" si="25"/>
        <v>-176.62225504922725</v>
      </c>
      <c r="H58" s="4">
        <f t="shared" si="26"/>
        <v>990.9701370136213</v>
      </c>
    </row>
    <row r="59" spans="4:11" x14ac:dyDescent="0.2">
      <c r="F59">
        <f t="shared" si="24"/>
        <v>7.5853030456558077</v>
      </c>
      <c r="G59" s="4">
        <f t="shared" si="25"/>
        <v>-20.891008433949207</v>
      </c>
      <c r="H59" s="4">
        <f t="shared" si="26"/>
        <v>57.536822294435275</v>
      </c>
    </row>
    <row r="60" spans="4:11" x14ac:dyDescent="0.2">
      <c r="F60">
        <f t="shared" si="24"/>
        <v>2.5676035256098384</v>
      </c>
      <c r="G60" s="4">
        <f t="shared" si="25"/>
        <v>-4.1142620048264016</v>
      </c>
      <c r="H60" s="4">
        <f t="shared" si="26"/>
        <v>6.5925878647240719</v>
      </c>
    </row>
    <row r="61" spans="4:11" x14ac:dyDescent="0.2">
      <c r="F61">
        <f t="shared" si="24"/>
        <v>2.3131061479555917</v>
      </c>
      <c r="G61" s="4">
        <f t="shared" si="25"/>
        <v>-3.5179798237058</v>
      </c>
      <c r="H61" s="4">
        <f t="shared" si="26"/>
        <v>5.3504600517099554</v>
      </c>
    </row>
    <row r="62" spans="4:11" x14ac:dyDescent="0.2">
      <c r="F62">
        <f t="shared" si="24"/>
        <v>0.87581539672059594</v>
      </c>
      <c r="G62" s="4">
        <f t="shared" si="25"/>
        <v>-0.81963192054315426</v>
      </c>
      <c r="H62" s="4">
        <f t="shared" si="26"/>
        <v>0.76705260913285489</v>
      </c>
    </row>
    <row r="63" spans="4:11" x14ac:dyDescent="0.2">
      <c r="F63">
        <f t="shared" si="24"/>
        <v>0.32761273449341527</v>
      </c>
      <c r="G63" s="4">
        <f t="shared" si="25"/>
        <v>-0.18751722267599372</v>
      </c>
      <c r="H63" s="4">
        <f t="shared" si="26"/>
        <v>0.10733010380225301</v>
      </c>
    </row>
    <row r="64" spans="4:11" x14ac:dyDescent="0.2">
      <c r="F64">
        <f t="shared" si="24"/>
        <v>4.9158415381575525E-2</v>
      </c>
      <c r="G64" s="4">
        <f t="shared" si="25"/>
        <v>-1.0899254974431038E-2</v>
      </c>
      <c r="H64" s="4">
        <f t="shared" si="26"/>
        <v>2.4165498028275211E-3</v>
      </c>
    </row>
    <row r="65" spans="5:8" x14ac:dyDescent="0.2">
      <c r="F65">
        <f t="shared" si="24"/>
        <v>1.4864838837850627E-2</v>
      </c>
      <c r="G65" s="4">
        <f t="shared" si="25"/>
        <v>-1.8123426361041724E-3</v>
      </c>
      <c r="H65" s="4">
        <f t="shared" si="26"/>
        <v>2.2096343367527239E-4</v>
      </c>
    </row>
    <row r="66" spans="5:8" x14ac:dyDescent="0.2">
      <c r="F66">
        <f t="shared" si="24"/>
        <v>1.0366485796548305E-3</v>
      </c>
      <c r="G66" s="4">
        <f t="shared" si="25"/>
        <v>-3.3377002824069879E-5</v>
      </c>
      <c r="H66" s="4">
        <f t="shared" si="26"/>
        <v>1.0746402777003774E-6</v>
      </c>
    </row>
    <row r="67" spans="5:8" x14ac:dyDescent="0.2">
      <c r="F67">
        <f t="shared" si="24"/>
        <v>3.9102959318494759</v>
      </c>
      <c r="G67" s="4">
        <f t="shared" si="25"/>
        <v>7.7324022615492733</v>
      </c>
      <c r="H67" s="4">
        <f t="shared" si="26"/>
        <v>15.290414274638561</v>
      </c>
    </row>
    <row r="68" spans="5:8" x14ac:dyDescent="0.2">
      <c r="F68">
        <f t="shared" si="24"/>
        <v>9.8034520579786033</v>
      </c>
      <c r="G68" s="4">
        <f t="shared" si="25"/>
        <v>30.695064054942748</v>
      </c>
      <c r="H68" s="4">
        <f t="shared" si="26"/>
        <v>96.107672253084914</v>
      </c>
    </row>
    <row r="69" spans="5:8" x14ac:dyDescent="0.2">
      <c r="F69">
        <f t="shared" si="24"/>
        <v>13.123952879804969</v>
      </c>
      <c r="G69" s="4">
        <f t="shared" si="25"/>
        <v>47.544139731963291</v>
      </c>
      <c r="H69" s="4">
        <f t="shared" si="26"/>
        <v>172.23813919134116</v>
      </c>
    </row>
    <row r="70" spans="5:8" x14ac:dyDescent="0.2">
      <c r="F70">
        <f t="shared" si="24"/>
        <v>20.091964259629719</v>
      </c>
      <c r="G70" s="4">
        <f t="shared" si="25"/>
        <v>90.060342742182868</v>
      </c>
      <c r="H70" s="4">
        <f t="shared" si="26"/>
        <v>403.68702781023802</v>
      </c>
    </row>
    <row r="71" spans="5:8" x14ac:dyDescent="0.2">
      <c r="F71">
        <f t="shared" si="24"/>
        <v>36.456653114186267</v>
      </c>
      <c r="G71" s="4">
        <f t="shared" si="25"/>
        <v>220.12288385803288</v>
      </c>
      <c r="H71" s="4">
        <f t="shared" si="26"/>
        <v>1329.0875562881072</v>
      </c>
    </row>
    <row r="72" spans="5:8" x14ac:dyDescent="0.2">
      <c r="F72">
        <f t="shared" si="24"/>
        <v>69.488533731603695</v>
      </c>
      <c r="G72" s="4">
        <f t="shared" si="25"/>
        <v>579.25490725787643</v>
      </c>
      <c r="H72" s="4">
        <f t="shared" si="26"/>
        <v>4828.6563201682247</v>
      </c>
    </row>
    <row r="73" spans="5:8" x14ac:dyDescent="0.2">
      <c r="F73">
        <f t="shared" si="24"/>
        <v>78.98130273881813</v>
      </c>
      <c r="G73" s="4">
        <f t="shared" si="25"/>
        <v>701.9180963792079</v>
      </c>
      <c r="H73" s="4">
        <f t="shared" si="26"/>
        <v>6238.0461823208398</v>
      </c>
    </row>
    <row r="74" spans="5:8" x14ac:dyDescent="0.2">
      <c r="F74">
        <f t="shared" si="24"/>
        <v>95.573044945020243</v>
      </c>
      <c r="G74" s="4">
        <f t="shared" si="25"/>
        <v>934.33611110150423</v>
      </c>
      <c r="H74" s="4">
        <f t="shared" si="26"/>
        <v>9134.2069200628594</v>
      </c>
    </row>
    <row r="75" spans="5:8" x14ac:dyDescent="0.2">
      <c r="F75">
        <f t="shared" si="24"/>
        <v>136.26306785750347</v>
      </c>
      <c r="G75" s="4">
        <f t="shared" si="25"/>
        <v>1590.6229480927673</v>
      </c>
      <c r="H75" s="4">
        <f t="shared" si="26"/>
        <v>18567.623661938596</v>
      </c>
    </row>
    <row r="76" spans="5:8" x14ac:dyDescent="0.2">
      <c r="F76">
        <f t="shared" si="24"/>
        <v>139.79109323983536</v>
      </c>
      <c r="G76" s="4">
        <f t="shared" si="25"/>
        <v>1652.7959955904023</v>
      </c>
      <c r="H76" s="4">
        <f t="shared" si="26"/>
        <v>19541.549749188343</v>
      </c>
    </row>
    <row r="77" spans="5:8" x14ac:dyDescent="0.2">
      <c r="F77">
        <f t="shared" si="24"/>
        <v>155.8135090985507</v>
      </c>
      <c r="G77" s="4">
        <f t="shared" si="25"/>
        <v>1944.9465139910167</v>
      </c>
      <c r="H77" s="4">
        <f t="shared" si="26"/>
        <v>24277.849617604141</v>
      </c>
    </row>
    <row r="78" spans="5:8" x14ac:dyDescent="0.2">
      <c r="F78">
        <f t="shared" si="24"/>
        <v>164.1506253147775</v>
      </c>
      <c r="G78" s="4">
        <f t="shared" si="25"/>
        <v>2103.1188319505377</v>
      </c>
      <c r="H78" s="4">
        <f t="shared" si="26"/>
        <v>26945.427791232472</v>
      </c>
    </row>
    <row r="79" spans="5:8" x14ac:dyDescent="0.2">
      <c r="F79">
        <f t="shared" si="24"/>
        <v>191.22449226873007</v>
      </c>
      <c r="G79" s="4">
        <f t="shared" si="25"/>
        <v>2644.327702088854</v>
      </c>
      <c r="H79" s="4">
        <f t="shared" si="26"/>
        <v>36566.806443433605</v>
      </c>
    </row>
    <row r="80" spans="5:8" x14ac:dyDescent="0.2">
      <c r="E80" t="s">
        <v>41</v>
      </c>
      <c r="F80">
        <f>SUM(F50:F79)</f>
        <v>2358.4159681019096</v>
      </c>
      <c r="G80" s="19">
        <f>SUM(G50:G79)</f>
        <v>-3342.3977492358613</v>
      </c>
      <c r="H80" s="19">
        <f>SUM(H50:H79)</f>
        <v>361547.31846248981</v>
      </c>
    </row>
  </sheetData>
  <sortState xmlns:xlrd2="http://schemas.microsoft.com/office/spreadsheetml/2017/richdata2" ref="E2:F31">
    <sortCondition ref="E1"/>
  </sortState>
  <mergeCells count="10">
    <mergeCell ref="L19:M19"/>
    <mergeCell ref="L27:M27"/>
    <mergeCell ref="D39:E39"/>
    <mergeCell ref="L39:M39"/>
    <mergeCell ref="P39:Q39"/>
    <mergeCell ref="U42:W42"/>
    <mergeCell ref="Y42:AA42"/>
    <mergeCell ref="U39:Y39"/>
    <mergeCell ref="U40:Y40"/>
    <mergeCell ref="U38:Y3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F1A7-F710-4B20-96C1-3EA2BFBB7FF2}">
  <dimension ref="A1:I21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5.6640625" customWidth="1"/>
    <col min="2" max="2" width="16.83203125" bestFit="1" customWidth="1"/>
    <col min="3" max="3" width="23.33203125" bestFit="1" customWidth="1"/>
    <col min="4" max="4" width="15.5" bestFit="1" customWidth="1"/>
    <col min="5" max="5" width="12" bestFit="1" customWidth="1"/>
    <col min="6" max="6" width="14.6640625" bestFit="1" customWidth="1"/>
    <col min="7" max="7" width="13.1640625" bestFit="1" customWidth="1"/>
    <col min="8" max="8" width="14.6640625" bestFit="1" customWidth="1"/>
    <col min="9" max="9" width="14.83203125" bestFit="1" customWidth="1"/>
  </cols>
  <sheetData>
    <row r="1" spans="1:9" x14ac:dyDescent="0.2">
      <c r="A1" t="s">
        <v>76</v>
      </c>
    </row>
    <row r="2" spans="1:9" ht="16" thickBot="1" x14ac:dyDescent="0.25"/>
    <row r="3" spans="1:9" x14ac:dyDescent="0.2">
      <c r="A3" s="29" t="s">
        <v>77</v>
      </c>
      <c r="B3" s="29"/>
    </row>
    <row r="4" spans="1:9" x14ac:dyDescent="0.2">
      <c r="A4" t="s">
        <v>78</v>
      </c>
      <c r="B4">
        <v>0.13061495604784609</v>
      </c>
    </row>
    <row r="5" spans="1:9" x14ac:dyDescent="0.2">
      <c r="A5" t="s">
        <v>79</v>
      </c>
      <c r="B5">
        <v>1.7060266743380768E-2</v>
      </c>
    </row>
    <row r="6" spans="1:9" x14ac:dyDescent="0.2">
      <c r="A6" t="s">
        <v>80</v>
      </c>
      <c r="B6">
        <v>-1.8044723730069916E-2</v>
      </c>
    </row>
    <row r="7" spans="1:9" x14ac:dyDescent="0.2">
      <c r="A7" t="s">
        <v>15</v>
      </c>
      <c r="B7">
        <v>9.0990202820222077</v>
      </c>
    </row>
    <row r="8" spans="1:9" ht="16" thickBot="1" x14ac:dyDescent="0.25">
      <c r="A8" s="7" t="s">
        <v>81</v>
      </c>
      <c r="B8" s="7">
        <v>30</v>
      </c>
    </row>
    <row r="10" spans="1:9" ht="16" thickBot="1" x14ac:dyDescent="0.25">
      <c r="A10" t="s">
        <v>82</v>
      </c>
    </row>
    <row r="11" spans="1:9" x14ac:dyDescent="0.2">
      <c r="A11" s="10"/>
      <c r="B11" s="10" t="s">
        <v>86</v>
      </c>
      <c r="C11" s="10" t="s">
        <v>87</v>
      </c>
      <c r="D11" s="10" t="s">
        <v>88</v>
      </c>
      <c r="E11" s="10" t="s">
        <v>89</v>
      </c>
      <c r="F11" s="10" t="s">
        <v>90</v>
      </c>
    </row>
    <row r="12" spans="1:9" x14ac:dyDescent="0.2">
      <c r="A12" t="s">
        <v>83</v>
      </c>
      <c r="B12">
        <v>1</v>
      </c>
      <c r="C12">
        <v>40.23520550766716</v>
      </c>
      <c r="D12">
        <v>40.23520550766716</v>
      </c>
      <c r="E12">
        <v>0.48597838977575453</v>
      </c>
      <c r="F12">
        <v>0.49147479320145715</v>
      </c>
    </row>
    <row r="13" spans="1:9" x14ac:dyDescent="0.2">
      <c r="A13" t="s">
        <v>84</v>
      </c>
      <c r="B13">
        <v>28</v>
      </c>
      <c r="C13">
        <v>2318.180762594242</v>
      </c>
      <c r="D13">
        <v>82.792170092651503</v>
      </c>
    </row>
    <row r="14" spans="1:9" ht="16" thickBot="1" x14ac:dyDescent="0.25">
      <c r="A14" s="7" t="s">
        <v>41</v>
      </c>
      <c r="B14" s="7">
        <v>29</v>
      </c>
      <c r="C14" s="7">
        <v>2358.4159681019091</v>
      </c>
      <c r="D14" s="7"/>
      <c r="E14" s="7"/>
      <c r="F14" s="7"/>
    </row>
    <row r="15" spans="1:9" ht="16" thickBot="1" x14ac:dyDescent="0.25"/>
    <row r="16" spans="1:9" x14ac:dyDescent="0.2">
      <c r="A16" s="10"/>
      <c r="B16" s="10" t="s">
        <v>91</v>
      </c>
      <c r="C16" s="10" t="s">
        <v>15</v>
      </c>
      <c r="D16" s="10" t="s">
        <v>92</v>
      </c>
      <c r="E16" s="10" t="s">
        <v>93</v>
      </c>
      <c r="F16" s="10" t="s">
        <v>94</v>
      </c>
      <c r="G16" s="10" t="s">
        <v>95</v>
      </c>
      <c r="H16" s="10" t="s">
        <v>96</v>
      </c>
      <c r="I16" s="10" t="s">
        <v>97</v>
      </c>
    </row>
    <row r="17" spans="1:9" x14ac:dyDescent="0.2">
      <c r="A17" t="s">
        <v>85</v>
      </c>
      <c r="B17">
        <v>109.70138471541749</v>
      </c>
      <c r="C17">
        <v>4.3961408283159402</v>
      </c>
      <c r="D17">
        <v>24.954019673078022</v>
      </c>
      <c r="E17">
        <v>1.1382526371407835E-20</v>
      </c>
      <c r="F17">
        <v>100.69629844635746</v>
      </c>
      <c r="G17">
        <v>118.70647098447752</v>
      </c>
      <c r="H17">
        <v>100.69629844635746</v>
      </c>
      <c r="I17">
        <v>118.70647098447752</v>
      </c>
    </row>
    <row r="18" spans="1:9" ht="16" thickBot="1" x14ac:dyDescent="0.25">
      <c r="A18" s="7" t="s">
        <v>98</v>
      </c>
      <c r="B18" s="9">
        <v>-0.31633439614847414</v>
      </c>
      <c r="C18" s="7">
        <v>0.45377225468190763</v>
      </c>
      <c r="D18" s="7">
        <v>-0.69712150287862618</v>
      </c>
      <c r="E18" s="7">
        <v>0.49147479320145715</v>
      </c>
      <c r="F18" s="7">
        <v>-1.2458447233874244</v>
      </c>
      <c r="G18" s="7">
        <v>0.61317593109047608</v>
      </c>
      <c r="H18" s="7">
        <v>-1.2458447233874244</v>
      </c>
      <c r="I18" s="7">
        <v>0.61317593109047608</v>
      </c>
    </row>
    <row r="21" spans="1:9" x14ac:dyDescent="0.2">
      <c r="B21" s="5">
        <f>-0.32*(9/106.86)</f>
        <v>-2.695115103874228E-2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76DB-85C4-4032-9696-ACADD47C7173}">
  <dimension ref="A3:F46"/>
  <sheetViews>
    <sheetView topLeftCell="A16" workbookViewId="0">
      <selection activeCell="I28" sqref="I28"/>
    </sheetView>
  </sheetViews>
  <sheetFormatPr baseColWidth="10" defaultColWidth="8.83203125" defaultRowHeight="15" x14ac:dyDescent="0.2"/>
  <cols>
    <col min="1" max="1" width="7.33203125" customWidth="1"/>
    <col min="2" max="2" width="13.6640625" bestFit="1" customWidth="1"/>
    <col min="3" max="3" width="11" customWidth="1"/>
    <col min="5" max="5" width="9.5" bestFit="1" customWidth="1"/>
  </cols>
  <sheetData>
    <row r="3" spans="1:6" ht="17" x14ac:dyDescent="0.2">
      <c r="A3" s="1" t="s">
        <v>0</v>
      </c>
      <c r="B3" s="1" t="s">
        <v>1</v>
      </c>
      <c r="C3" s="1" t="s">
        <v>2</v>
      </c>
      <c r="D3" s="1" t="s">
        <v>64</v>
      </c>
      <c r="E3" s="1" t="s">
        <v>65</v>
      </c>
      <c r="F3" s="1" t="s">
        <v>66</v>
      </c>
    </row>
    <row r="4" spans="1:6" x14ac:dyDescent="0.2">
      <c r="A4" s="1">
        <v>1</v>
      </c>
      <c r="B4" s="2">
        <v>5.0669576097903377</v>
      </c>
      <c r="C4" s="2">
        <v>99.531144138920254</v>
      </c>
      <c r="D4" s="2">
        <f>B4^2</f>
        <v>25.674059419412213</v>
      </c>
      <c r="E4" s="2">
        <f>C4^2</f>
        <v>9906.4486536025197</v>
      </c>
      <c r="F4" s="1">
        <f>B4*C4</f>
        <v>504.32008820584093</v>
      </c>
    </row>
    <row r="5" spans="1:6" x14ac:dyDescent="0.2">
      <c r="A5" s="1">
        <v>2</v>
      </c>
      <c r="B5" s="2">
        <v>3.491836298715171</v>
      </c>
      <c r="C5" s="2">
        <v>108.84142582476272</v>
      </c>
      <c r="D5" s="2">
        <f t="shared" ref="D5:D33" si="0">B5^2</f>
        <v>12.192920737024865</v>
      </c>
      <c r="E5" s="2">
        <f t="shared" ref="E5:E33" si="1">C5^2</f>
        <v>11846.455975567325</v>
      </c>
      <c r="F5" s="1">
        <f t="shared" ref="F5:F33" si="2">B5*C5</f>
        <v>380.0564414988213</v>
      </c>
    </row>
    <row r="6" spans="1:6" x14ac:dyDescent="0.2">
      <c r="A6" s="1">
        <v>3</v>
      </c>
      <c r="B6" s="2">
        <v>11.048829615161596</v>
      </c>
      <c r="C6" s="2">
        <v>106.29160435804314</v>
      </c>
      <c r="D6" s="2">
        <f t="shared" si="0"/>
        <v>122.07663586487195</v>
      </c>
      <c r="E6" s="2">
        <f t="shared" si="1"/>
        <v>11297.905157006777</v>
      </c>
      <c r="F6" s="1">
        <f t="shared" si="2"/>
        <v>1174.3978260741865</v>
      </c>
    </row>
    <row r="7" spans="1:6" x14ac:dyDescent="0.2">
      <c r="A7" s="1">
        <v>4</v>
      </c>
      <c r="B7" s="2">
        <v>3.0574968718527789</v>
      </c>
      <c r="C7" s="2">
        <v>105.34308908352916</v>
      </c>
      <c r="D7" s="2">
        <f t="shared" si="0"/>
        <v>9.3482871213895287</v>
      </c>
      <c r="E7" s="2">
        <f t="shared" si="1"/>
        <v>11097.166417660361</v>
      </c>
      <c r="F7" s="1">
        <f t="shared" si="2"/>
        <v>322.08616534419906</v>
      </c>
    </row>
    <row r="8" spans="1:6" x14ac:dyDescent="0.2">
      <c r="A8" s="1">
        <v>5</v>
      </c>
      <c r="B8" s="2">
        <v>3.4720603045747245</v>
      </c>
      <c r="C8" s="2">
        <v>96.348673970763272</v>
      </c>
      <c r="D8" s="2">
        <f t="shared" si="0"/>
        <v>12.055202758603528</v>
      </c>
      <c r="E8" s="2">
        <f t="shared" si="1"/>
        <v>9283.0669759244356</v>
      </c>
      <c r="F8" s="1">
        <f t="shared" si="2"/>
        <v>334.52840629229917</v>
      </c>
    </row>
    <row r="9" spans="1:6" x14ac:dyDescent="0.2">
      <c r="A9" s="1">
        <v>6</v>
      </c>
      <c r="B9" s="2">
        <v>5.4701681569872127</v>
      </c>
      <c r="C9" s="2">
        <v>106.74205755790886</v>
      </c>
      <c r="D9" s="2">
        <f t="shared" si="0"/>
        <v>29.922739665716879</v>
      </c>
      <c r="E9" s="2">
        <f t="shared" si="1"/>
        <v>11393.86685169593</v>
      </c>
      <c r="F9" s="1">
        <f t="shared" si="2"/>
        <v>583.89700426456932</v>
      </c>
    </row>
    <row r="10" spans="1:6" x14ac:dyDescent="0.2">
      <c r="A10" s="1">
        <v>7</v>
      </c>
      <c r="B10" s="2">
        <v>6.0590533158360547</v>
      </c>
      <c r="C10" s="2">
        <v>116.64012573625904</v>
      </c>
      <c r="D10" s="2">
        <f t="shared" si="0"/>
        <v>36.712127084143887</v>
      </c>
      <c r="E10" s="2">
        <f t="shared" si="1"/>
        <v>13604.918931770319</v>
      </c>
      <c r="F10" s="1">
        <f t="shared" si="2"/>
        <v>706.72874060181471</v>
      </c>
    </row>
    <row r="11" spans="1:6" x14ac:dyDescent="0.2">
      <c r="A11" s="1">
        <v>8</v>
      </c>
      <c r="B11" s="2">
        <v>13.623371074556719</v>
      </c>
      <c r="C11" s="2">
        <v>94.779412213507499</v>
      </c>
      <c r="D11" s="2">
        <f t="shared" si="0"/>
        <v>185.5962394350687</v>
      </c>
      <c r="E11" s="2">
        <f t="shared" si="1"/>
        <v>8983.1369795379742</v>
      </c>
      <c r="F11" s="1">
        <f t="shared" si="2"/>
        <v>1291.2151028129858</v>
      </c>
    </row>
    <row r="12" spans="1:6" x14ac:dyDescent="0.2">
      <c r="A12" s="1">
        <v>9</v>
      </c>
      <c r="B12" s="2">
        <v>13.697714163640248</v>
      </c>
      <c r="C12" s="2">
        <v>118.68730735190893</v>
      </c>
      <c r="D12" s="2">
        <f t="shared" si="0"/>
        <v>187.62737330879065</v>
      </c>
      <c r="E12" s="2">
        <f t="shared" si="1"/>
        <v>14086.676926446495</v>
      </c>
      <c r="F12" s="1">
        <f t="shared" si="2"/>
        <v>1625.7448109585662</v>
      </c>
    </row>
    <row r="13" spans="1:6" x14ac:dyDescent="0.2">
      <c r="A13" s="1">
        <v>10</v>
      </c>
      <c r="B13" s="2">
        <v>14.897824030274361</v>
      </c>
      <c r="C13" s="2">
        <v>91.519119846186712</v>
      </c>
      <c r="D13" s="2">
        <f t="shared" si="0"/>
        <v>221.94516083702021</v>
      </c>
      <c r="E13" s="2">
        <f t="shared" si="1"/>
        <v>8375.7492974206871</v>
      </c>
      <c r="F13" s="1">
        <f t="shared" si="2"/>
        <v>1363.4357428740796</v>
      </c>
    </row>
    <row r="14" spans="1:6" x14ac:dyDescent="0.2">
      <c r="A14" s="1">
        <v>11</v>
      </c>
      <c r="B14" s="2">
        <v>7.8659932248908966</v>
      </c>
      <c r="C14" s="2">
        <v>115.75112155522325</v>
      </c>
      <c r="D14" s="2">
        <f t="shared" si="0"/>
        <v>61.873849414029486</v>
      </c>
      <c r="E14" s="2">
        <f t="shared" si="1"/>
        <v>13398.322141292068</v>
      </c>
      <c r="F14" s="1">
        <f t="shared" si="2"/>
        <v>910.49753792690865</v>
      </c>
    </row>
    <row r="15" spans="1:6" x14ac:dyDescent="0.2">
      <c r="A15" s="1">
        <v>12</v>
      </c>
      <c r="B15" s="2">
        <v>6.7402264473403122</v>
      </c>
      <c r="C15" s="2">
        <v>120.69237342448194</v>
      </c>
      <c r="D15" s="2">
        <f t="shared" si="0"/>
        <v>45.430652561425809</v>
      </c>
      <c r="E15" s="2">
        <f t="shared" si="1"/>
        <v>14566.649002834594</v>
      </c>
      <c r="F15" s="1">
        <f t="shared" si="2"/>
        <v>813.49392734796618</v>
      </c>
    </row>
    <row r="16" spans="1:6" x14ac:dyDescent="0.2">
      <c r="A16" s="1">
        <v>13</v>
      </c>
      <c r="B16" s="2">
        <v>12.32181768242439</v>
      </c>
      <c r="C16" s="2">
        <v>110.48667867061373</v>
      </c>
      <c r="D16" s="2">
        <f t="shared" si="0"/>
        <v>151.82719099890636</v>
      </c>
      <c r="E16" s="2">
        <f t="shared" si="1"/>
        <v>12207.30616366345</v>
      </c>
      <c r="F16" s="1">
        <f t="shared" si="2"/>
        <v>1361.39671091591</v>
      </c>
    </row>
    <row r="17" spans="1:6" x14ac:dyDescent="0.2">
      <c r="A17" s="1">
        <v>14</v>
      </c>
      <c r="B17" s="2">
        <v>8.3406170842616056</v>
      </c>
      <c r="C17" s="2">
        <v>119.67610705893125</v>
      </c>
      <c r="D17" s="2">
        <f t="shared" si="0"/>
        <v>69.565893346276567</v>
      </c>
      <c r="E17" s="2">
        <f t="shared" si="1"/>
        <v>14322.370600780774</v>
      </c>
      <c r="F17" s="1">
        <f t="shared" si="2"/>
        <v>998.17258311364299</v>
      </c>
    </row>
    <row r="18" spans="1:6" x14ac:dyDescent="0.2">
      <c r="A18" s="1">
        <v>15</v>
      </c>
      <c r="B18" s="2">
        <v>13.862880336924345</v>
      </c>
      <c r="C18" s="2">
        <v>104.10983611560411</v>
      </c>
      <c r="D18" s="2">
        <f t="shared" si="0"/>
        <v>192.17945123588365</v>
      </c>
      <c r="E18" s="2">
        <f t="shared" si="1"/>
        <v>10838.857976017945</v>
      </c>
      <c r="F18" s="1">
        <f t="shared" si="2"/>
        <v>1443.2621999674243</v>
      </c>
    </row>
    <row r="19" spans="1:6" x14ac:dyDescent="0.2">
      <c r="A19" s="1">
        <v>16</v>
      </c>
      <c r="B19" s="2">
        <v>10.951414532914214</v>
      </c>
      <c r="C19" s="2">
        <v>106.64226203192236</v>
      </c>
      <c r="D19" s="2">
        <f t="shared" si="0"/>
        <v>119.93348027172465</v>
      </c>
      <c r="E19" s="2">
        <f t="shared" si="1"/>
        <v>11372.572051285189</v>
      </c>
      <c r="F19" s="1">
        <f t="shared" si="2"/>
        <v>1167.8836182392401</v>
      </c>
    </row>
    <row r="20" spans="1:6" x14ac:dyDescent="0.2">
      <c r="A20" s="1">
        <v>17</v>
      </c>
      <c r="B20" s="2">
        <v>13.543900875881222</v>
      </c>
      <c r="C20" s="2">
        <v>91.017395550401318</v>
      </c>
      <c r="D20" s="2">
        <f t="shared" si="0"/>
        <v>183.43725093569614</v>
      </c>
      <c r="E20" s="2">
        <f t="shared" si="1"/>
        <v>8284.1662927782145</v>
      </c>
      <c r="F20" s="1">
        <f t="shared" si="2"/>
        <v>1232.7305833155081</v>
      </c>
    </row>
    <row r="21" spans="1:6" x14ac:dyDescent="0.2">
      <c r="A21" s="1">
        <v>18</v>
      </c>
      <c r="B21" s="2">
        <v>9.7245704519791243</v>
      </c>
      <c r="C21" s="2">
        <v>118.53715628528703</v>
      </c>
      <c r="D21" s="2">
        <f t="shared" si="0"/>
        <v>94.567270475505467</v>
      </c>
      <c r="E21" s="2">
        <f t="shared" si="1"/>
        <v>14051.057420202562</v>
      </c>
      <c r="F21" s="1">
        <f t="shared" si="2"/>
        <v>1152.7229274735337</v>
      </c>
    </row>
    <row r="22" spans="1:6" x14ac:dyDescent="0.2">
      <c r="A22" s="1">
        <v>19</v>
      </c>
      <c r="B22" s="2">
        <v>10.710074159978026</v>
      </c>
      <c r="C22" s="2">
        <v>119.34650715659048</v>
      </c>
      <c r="D22" s="2">
        <f t="shared" si="0"/>
        <v>114.70568851222902</v>
      </c>
      <c r="E22" s="2">
        <f t="shared" si="1"/>
        <v>14243.588770478102</v>
      </c>
      <c r="F22" s="1">
        <f t="shared" si="2"/>
        <v>1278.2099423814323</v>
      </c>
    </row>
    <row r="23" spans="1:6" x14ac:dyDescent="0.2">
      <c r="A23" s="1">
        <v>20</v>
      </c>
      <c r="B23" s="2">
        <v>4.9695425275429548</v>
      </c>
      <c r="C23" s="2">
        <v>105.92812891018403</v>
      </c>
      <c r="D23" s="2">
        <f t="shared" si="0"/>
        <v>24.696352933058019</v>
      </c>
      <c r="E23" s="2">
        <f t="shared" si="1"/>
        <v>11220.768494412565</v>
      </c>
      <c r="F23" s="1">
        <f t="shared" si="2"/>
        <v>526.41434148221185</v>
      </c>
    </row>
    <row r="24" spans="1:6" x14ac:dyDescent="0.2">
      <c r="A24" s="1">
        <v>21</v>
      </c>
      <c r="B24" s="2">
        <v>7.144901882992035</v>
      </c>
      <c r="C24" s="2">
        <v>106.83178197576831</v>
      </c>
      <c r="D24" s="2">
        <f t="shared" si="0"/>
        <v>51.049622917583129</v>
      </c>
      <c r="E24" s="2">
        <f t="shared" si="1"/>
        <v>11413.029640118095</v>
      </c>
      <c r="F24" s="1">
        <f t="shared" si="2"/>
        <v>763.30260020206151</v>
      </c>
    </row>
    <row r="25" spans="1:6" x14ac:dyDescent="0.2">
      <c r="A25" s="1">
        <v>22</v>
      </c>
      <c r="B25" s="2">
        <v>13.946012756736963</v>
      </c>
      <c r="C25" s="2">
        <v>94.126621295815909</v>
      </c>
      <c r="D25" s="2">
        <f t="shared" si="0"/>
        <v>194.49127181107011</v>
      </c>
      <c r="E25" s="2">
        <f t="shared" si="1"/>
        <v>8859.8208365659448</v>
      </c>
      <c r="F25" s="1">
        <f t="shared" si="2"/>
        <v>1312.6910613399978</v>
      </c>
    </row>
    <row r="26" spans="1:6" x14ac:dyDescent="0.2">
      <c r="A26" s="1">
        <v>23</v>
      </c>
      <c r="B26" s="2">
        <v>6.9954832605975525</v>
      </c>
      <c r="C26" s="2">
        <v>111.34638508255257</v>
      </c>
      <c r="D26" s="2">
        <f t="shared" si="0"/>
        <v>48.936786049300565</v>
      </c>
      <c r="E26" s="2">
        <f t="shared" si="1"/>
        <v>12398.017470952085</v>
      </c>
      <c r="F26" s="1">
        <f t="shared" si="2"/>
        <v>778.92177297304556</v>
      </c>
    </row>
    <row r="27" spans="1:6" x14ac:dyDescent="0.2">
      <c r="A27" s="1">
        <v>24</v>
      </c>
      <c r="B27" s="2">
        <v>13.193792535172582</v>
      </c>
      <c r="C27" s="2">
        <v>109.99502548295541</v>
      </c>
      <c r="D27" s="2">
        <f t="shared" si="0"/>
        <v>174.07616146117576</v>
      </c>
      <c r="E27" s="2">
        <f t="shared" si="1"/>
        <v>12098.905630996011</v>
      </c>
      <c r="F27" s="1">
        <f t="shared" si="2"/>
        <v>1451.2515461231351</v>
      </c>
    </row>
    <row r="28" spans="1:6" x14ac:dyDescent="0.2">
      <c r="A28" s="1">
        <v>25</v>
      </c>
      <c r="B28" s="2">
        <v>3.4423963133640552</v>
      </c>
      <c r="C28" s="2">
        <v>105.26160466322824</v>
      </c>
      <c r="D28" s="2">
        <f t="shared" si="0"/>
        <v>11.850092378262438</v>
      </c>
      <c r="E28" s="2">
        <f t="shared" si="1"/>
        <v>11080.005416277752</v>
      </c>
      <c r="F28" s="1">
        <f t="shared" si="2"/>
        <v>362.35215983148152</v>
      </c>
    </row>
    <row r="29" spans="1:6" x14ac:dyDescent="0.2">
      <c r="A29" s="1">
        <v>26</v>
      </c>
      <c r="B29" s="2">
        <v>9.5103305154576248</v>
      </c>
      <c r="C29" s="2">
        <v>94.424176763206887</v>
      </c>
      <c r="D29" s="2">
        <f t="shared" si="0"/>
        <v>90.446386513244491</v>
      </c>
      <c r="E29" s="2">
        <f t="shared" si="1"/>
        <v>8915.9251574093396</v>
      </c>
      <c r="F29" s="1">
        <f t="shared" si="2"/>
        <v>898.00512966809129</v>
      </c>
    </row>
    <row r="30" spans="1:6" x14ac:dyDescent="0.2">
      <c r="A30" s="1">
        <v>27</v>
      </c>
      <c r="B30" s="2">
        <v>8.8258613849299614</v>
      </c>
      <c r="C30" s="2">
        <v>101.25330362865077</v>
      </c>
      <c r="D30" s="2">
        <f t="shared" si="0"/>
        <v>77.895829185997812</v>
      </c>
      <c r="E30" s="2">
        <f t="shared" si="1"/>
        <v>10252.231495715743</v>
      </c>
      <c r="F30" s="1">
        <f t="shared" si="2"/>
        <v>893.64762259269753</v>
      </c>
    </row>
    <row r="31" spans="1:6" x14ac:dyDescent="0.2">
      <c r="A31" s="1">
        <v>28</v>
      </c>
      <c r="B31" s="2">
        <v>12.433881649220252</v>
      </c>
      <c r="C31" s="2">
        <v>115.19995727408673</v>
      </c>
      <c r="D31" s="2">
        <f t="shared" si="0"/>
        <v>154.60141286681613</v>
      </c>
      <c r="E31" s="2">
        <f t="shared" si="1"/>
        <v>13271.030155951408</v>
      </c>
      <c r="F31" s="1">
        <f t="shared" si="2"/>
        <v>1432.3826347412241</v>
      </c>
    </row>
    <row r="32" spans="1:6" x14ac:dyDescent="0.2">
      <c r="A32" s="1">
        <v>29</v>
      </c>
      <c r="B32" s="2">
        <v>8.6138187810907318</v>
      </c>
      <c r="C32" s="2">
        <v>112.90191351054415</v>
      </c>
      <c r="D32" s="2">
        <f t="shared" si="0"/>
        <v>74.197873993471418</v>
      </c>
      <c r="E32" s="2">
        <f t="shared" si="1"/>
        <v>12746.84207434239</v>
      </c>
      <c r="F32" s="1">
        <f t="shared" si="2"/>
        <v>972.51662301820659</v>
      </c>
    </row>
    <row r="33" spans="1:6" x14ac:dyDescent="0.2">
      <c r="A33" s="1">
        <v>30</v>
      </c>
      <c r="B33" s="2">
        <v>6.0663777581102938</v>
      </c>
      <c r="C33" s="2">
        <v>97.667073580126342</v>
      </c>
      <c r="D33" s="2">
        <f t="shared" si="0"/>
        <v>36.800939104095271</v>
      </c>
      <c r="E33" s="2">
        <f t="shared" si="1"/>
        <v>9538.8572617058126</v>
      </c>
      <c r="F33" s="1">
        <f t="shared" si="2"/>
        <v>592.48536286619992</v>
      </c>
    </row>
    <row r="34" spans="1:6" x14ac:dyDescent="0.2">
      <c r="A34" s="4" t="s">
        <v>41</v>
      </c>
      <c r="B34" s="3">
        <f>SUM(B4:B33)</f>
        <v>269.08920560319837</v>
      </c>
      <c r="C34" s="3">
        <f t="shared" ref="C34:F34" si="3">SUM(C4:C33)</f>
        <v>3205.9193700979645</v>
      </c>
      <c r="D34" s="2">
        <f t="shared" si="3"/>
        <v>2815.7142031977942</v>
      </c>
      <c r="E34" s="2">
        <f t="shared" si="3"/>
        <v>344955.71622041275</v>
      </c>
      <c r="F34" s="2">
        <f t="shared" si="3"/>
        <v>28628.751214447275</v>
      </c>
    </row>
    <row r="38" spans="1:6" x14ac:dyDescent="0.2">
      <c r="A38" s="1" t="s">
        <v>67</v>
      </c>
      <c r="B38" s="25">
        <f>SUM(B4:B33)/30</f>
        <v>8.9696401867732796</v>
      </c>
    </row>
    <row r="39" spans="1:6" ht="17" x14ac:dyDescent="0.2">
      <c r="A39" s="1" t="s">
        <v>68</v>
      </c>
      <c r="B39" s="2">
        <f>B38*B38</f>
        <v>80.454445080178189</v>
      </c>
    </row>
    <row r="40" spans="1:6" x14ac:dyDescent="0.2">
      <c r="A40" s="1" t="s">
        <v>69</v>
      </c>
      <c r="B40" s="2">
        <f>SUM(C4:C33)/30</f>
        <v>106.86397900326548</v>
      </c>
    </row>
    <row r="41" spans="1:6" ht="17" x14ac:dyDescent="0.2">
      <c r="A41" s="1" t="s">
        <v>70</v>
      </c>
      <c r="B41" s="2">
        <f>B40^2</f>
        <v>11419.910008410367</v>
      </c>
    </row>
    <row r="42" spans="1:6" x14ac:dyDescent="0.2">
      <c r="A42" s="1" t="s">
        <v>71</v>
      </c>
      <c r="B42" s="2">
        <f>SUM(F4:F33)/30</f>
        <v>954.29170714824249</v>
      </c>
    </row>
    <row r="43" spans="1:6" x14ac:dyDescent="0.2">
      <c r="A43" s="1" t="s">
        <v>72</v>
      </c>
      <c r="B43" s="2">
        <f>SUM(D4:D33)/30</f>
        <v>93.857140106593135</v>
      </c>
    </row>
    <row r="44" spans="1:6" x14ac:dyDescent="0.2">
      <c r="A44" s="1" t="s">
        <v>73</v>
      </c>
      <c r="B44" s="2">
        <f>SUM(E4:E33)/30</f>
        <v>11498.523874013759</v>
      </c>
    </row>
    <row r="46" spans="1:6" ht="45.75" customHeight="1" x14ac:dyDescent="0.2">
      <c r="A46" s="26" t="s">
        <v>74</v>
      </c>
      <c r="B46" s="28">
        <f>(B42-(B38*B40))/SQRT((B43-B39)*(B44-B41))</f>
        <v>-0.13061495604786169</v>
      </c>
      <c r="C46" s="27" t="s"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960949EDA088448A5385346835427E1" ma:contentTypeVersion="12" ma:contentTypeDescription="Создание документа." ma:contentTypeScope="" ma:versionID="5bae8e6f833108df9a5175ef40d724b0">
  <xsd:schema xmlns:xsd="http://www.w3.org/2001/XMLSchema" xmlns:xs="http://www.w3.org/2001/XMLSchema" xmlns:p="http://schemas.microsoft.com/office/2006/metadata/properties" xmlns:ns2="facef096-4863-4cbb-94b8-0341a6269096" xmlns:ns3="69f24d5d-27d2-47f9-a7e7-f8da39f13ea0" targetNamespace="http://schemas.microsoft.com/office/2006/metadata/properties" ma:root="true" ma:fieldsID="5fa6f02508cb5560f97125ad1facf20f" ns2:_="" ns3:_="">
    <xsd:import namespace="facef096-4863-4cbb-94b8-0341a6269096"/>
    <xsd:import namespace="69f24d5d-27d2-47f9-a7e7-f8da39f13ea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ef096-4863-4cbb-94b8-0341a626909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5247288-6a0f-4110-9ec1-aa0e9d799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24d5d-27d2-47f9-a7e7-f8da39f13ea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42c31fe-a5e4-443d-a512-e1dbfae39c1b}" ma:internalName="TaxCatchAll" ma:showField="CatchAllData" ma:web="69f24d5d-27d2-47f9-a7e7-f8da39f13e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809E2-8B1A-4A04-88AB-39731A2FF9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3BE811-E939-4CAC-A5A1-E086FB99F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ef096-4863-4cbb-94b8-0341a6269096"/>
    <ds:schemaRef ds:uri="69f24d5d-27d2-47f9-a7e7-f8da39f13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Гистограмма</vt:lpstr>
      <vt:lpstr>Лист4</vt:lpstr>
      <vt:lpstr>Вариант 4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Кузнецова Елена</dc:creator>
  <cp:lastModifiedBy>Данил</cp:lastModifiedBy>
  <dcterms:created xsi:type="dcterms:W3CDTF">2015-06-05T18:19:34Z</dcterms:created>
  <dcterms:modified xsi:type="dcterms:W3CDTF">2025-05-15T15:03:51Z</dcterms:modified>
</cp:coreProperties>
</file>